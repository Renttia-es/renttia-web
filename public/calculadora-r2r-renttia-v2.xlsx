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culadora R2R" sheetId="1" state="visible" r:id="rId1"/>
    <sheet name="📊 Dashboard" sheetId="2" state="visible" r:id="rId2"/>
  </sheets>
  <definedNames/>
  <calcPr calcId="124519" fullCalcOnLoad="1"/>
</workbook>
</file>

<file path=xl/styles.xml><?xml version="1.0" encoding="utf-8"?>
<styleSheet xmlns="http://schemas.openxmlformats.org/spreadsheetml/2006/main">
  <numFmts count="8">
    <numFmt numFmtId="164" formatCode="#,##0.0 &quot;€&quot;"/>
    <numFmt numFmtId="165" formatCode="#,##0 &quot;€/mes&quot;"/>
    <numFmt numFmtId="166" formatCode="#,##0 &quot;€&quot;"/>
    <numFmt numFmtId="167" formatCode="#,##0.0 &quot;€/hab&quot;"/>
    <numFmt numFmtId="168" formatCode="#,##0.0"/>
    <numFmt numFmtId="169" formatCode="0.0 &quot;meses&quot;"/>
    <numFmt numFmtId="170" formatCode="0.0&quot;%&quot;"/>
    <numFmt numFmtId="171" formatCode="#,##0 &quot;€/año&quot;"/>
  </numFmts>
  <fonts count="22">
    <font>
      <name val="Calibri"/>
      <family val="2"/>
      <color theme="1"/>
      <sz val="11"/>
      <scheme val="minor"/>
    </font>
    <font>
      <name val="Calibri"/>
      <b val="1"/>
      <color rgb="00FFFFFF"/>
      <sz val="16"/>
    </font>
    <font>
      <name val="Calibri"/>
      <i val="1"/>
      <color rgb="00dde8f5"/>
      <sz val="10"/>
    </font>
    <font>
      <name val="Calibri"/>
      <b val="1"/>
      <color rgb="00FFFFFF"/>
      <sz val="9"/>
    </font>
    <font>
      <name val="Calibri"/>
      <b val="1"/>
      <color rgb="00123462"/>
      <sz val="10"/>
    </font>
    <font>
      <name val="Calibri"/>
      <color rgb="00123462"/>
      <sz val="10"/>
    </font>
    <font>
      <name val="Calibri"/>
      <b val="1"/>
      <color rgb="000c2449"/>
      <sz val="11"/>
    </font>
    <font>
      <name val="Calibri"/>
      <color rgb="006B7280"/>
      <sz val="9"/>
    </font>
    <font>
      <name val="Calibri"/>
      <color rgb="00123462"/>
      <sz val="9"/>
    </font>
    <font>
      <name val="Calibri"/>
      <i val="1"/>
      <color rgb="006B7280"/>
      <sz val="9"/>
    </font>
    <font>
      <name val="Calibri"/>
      <b val="1"/>
      <color rgb="000c2449"/>
      <sz val="13"/>
    </font>
    <font>
      <name val="Calibri"/>
      <i val="1"/>
      <color rgb="00856404"/>
      <sz val="9"/>
    </font>
    <font>
      <name val="Calibri"/>
      <b val="1"/>
      <color rgb="000c2449"/>
      <sz val="12"/>
    </font>
    <font>
      <name val="Calibri"/>
      <i val="1"/>
      <color rgb="00123462"/>
      <sz val="9"/>
    </font>
    <font>
      <name val="Calibri"/>
      <b val="1"/>
      <color rgb="000c2449"/>
      <sz val="14"/>
    </font>
    <font>
      <name val="Calibri"/>
      <sz val="10"/>
    </font>
    <font>
      <name val="Calibri"/>
      <b val="1"/>
      <color rgb="00FFFFFF"/>
      <sz val="12"/>
    </font>
    <font>
      <name val="Calibri"/>
      <color rgb="00374151"/>
      <sz val="9"/>
    </font>
    <font>
      <name val="Calibri"/>
      <b val="1"/>
      <color rgb="00FFFFFF"/>
      <sz val="18"/>
    </font>
    <font>
      <name val="Calibri"/>
      <i val="1"/>
      <color rgb="00dde8f5"/>
      <sz val="11"/>
    </font>
    <font>
      <name val="Calibri"/>
      <b val="1"/>
      <color rgb="00123462"/>
      <sz val="11"/>
    </font>
    <font>
      <name val="Calibri"/>
      <b val="1"/>
      <color rgb="000c2449"/>
      <sz val="18"/>
    </font>
  </fonts>
  <fills count="13">
    <fill>
      <patternFill/>
    </fill>
    <fill>
      <patternFill patternType="gray125"/>
    </fill>
    <fill>
      <patternFill patternType="solid">
        <fgColor rgb="00123462"/>
      </patternFill>
    </fill>
    <fill>
      <patternFill patternType="solid">
        <fgColor rgb="000c2449"/>
      </patternFill>
    </fill>
    <fill>
      <patternFill patternType="solid">
        <fgColor rgb="00FFFFFF"/>
      </patternFill>
    </fill>
    <fill>
      <patternFill patternType="solid">
        <fgColor rgb="001a4070"/>
      </patternFill>
    </fill>
    <fill>
      <patternFill patternType="solid">
        <fgColor rgb="00EEF2FF"/>
      </patternFill>
    </fill>
    <fill>
      <patternFill patternType="solid">
        <fgColor rgb="00F3F4F6"/>
      </patternFill>
    </fill>
    <fill>
      <patternFill patternType="solid">
        <fgColor rgb="00dde8f5"/>
      </patternFill>
    </fill>
    <fill>
      <patternFill patternType="solid">
        <fgColor rgb="00FFF9C4"/>
      </patternFill>
    </fill>
    <fill>
      <patternFill patternType="solid">
        <fgColor rgb="00FFFDE7"/>
      </patternFill>
    </fill>
    <fill>
      <patternFill patternType="solid">
        <fgColor rgb="00E0F2FE"/>
      </patternFill>
    </fill>
    <fill>
      <patternFill patternType="solid">
        <fgColor rgb="00DCFCE7"/>
      </patternFill>
    </fill>
  </fills>
  <borders count="4">
    <border>
      <left/>
      <right/>
      <top/>
      <bottom/>
      <diagonal/>
    </border>
    <border>
      <bottom style="thin">
        <color rgb="00D1D5DB"/>
      </bottom>
    </border>
    <border>
      <left style="thin">
        <color rgb="00D1D5DB"/>
      </left>
      <right style="thin">
        <color rgb="00D1D5DB"/>
      </right>
      <top style="thin">
        <color rgb="00D1D5DB"/>
      </top>
      <bottom style="thin">
        <color rgb="00D1D5DB"/>
      </bottom>
    </border>
    <border>
      <left/>
      <right/>
      <top/>
      <bottom style="thin">
        <color rgb="00D1D5DB"/>
      </bottom>
      <diagonal/>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1" pivotButton="0" quotePrefix="0" xfId="0"/>
    <xf numFmtId="0" fontId="3" fillId="5" borderId="2" applyAlignment="1" pivotButton="0" quotePrefix="0" xfId="0">
      <alignment horizontal="center" vertical="center"/>
    </xf>
    <xf numFmtId="0" fontId="4" fillId="6" borderId="2" applyAlignment="1" pivotButton="0" quotePrefix="0" xfId="0">
      <alignment horizontal="left" vertical="center"/>
    </xf>
    <xf numFmtId="0" fontId="5" fillId="4" borderId="2" applyAlignment="1" pivotButton="0" quotePrefix="0" xfId="0">
      <alignment horizontal="left" vertical="center" wrapText="1"/>
    </xf>
    <xf numFmtId="0" fontId="6" fillId="4" borderId="2" applyAlignment="1" pivotButton="0" quotePrefix="0" xfId="0">
      <alignment horizontal="center" vertical="center"/>
    </xf>
    <xf numFmtId="0" fontId="7" fillId="7" borderId="2" applyAlignment="1" pivotButton="0" quotePrefix="0" xfId="0">
      <alignment horizontal="center" vertical="center"/>
    </xf>
    <xf numFmtId="0" fontId="5" fillId="7" borderId="2" applyAlignment="1" pivotButton="0" quotePrefix="0" xfId="0">
      <alignment horizontal="center" vertical="center"/>
    </xf>
    <xf numFmtId="0" fontId="8" fillId="4" borderId="2" applyAlignment="1" pivotButton="0" quotePrefix="0" xfId="0">
      <alignment horizontal="left" vertical="center" wrapText="1"/>
    </xf>
    <xf numFmtId="0" fontId="9" fillId="7" borderId="2" applyAlignment="1" pivotButton="0" quotePrefix="0" xfId="0">
      <alignment horizontal="center" vertical="center"/>
    </xf>
    <xf numFmtId="165" fontId="6" fillId="8"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left" vertical="center" wrapText="1"/>
    </xf>
    <xf numFmtId="166" fontId="6" fillId="4" borderId="2" applyAlignment="1" pivotButton="0" quotePrefix="0" xfId="0">
      <alignment horizontal="center" vertical="center"/>
    </xf>
    <xf numFmtId="0" fontId="5" fillId="8" borderId="2" applyAlignment="1" pivotButton="0" quotePrefix="0" xfId="0">
      <alignment horizontal="left" vertical="center" wrapText="1"/>
    </xf>
    <xf numFmtId="166" fontId="6" fillId="10" borderId="2" applyAlignment="1" pivotButton="0" quotePrefix="0" xfId="0">
      <alignment horizontal="center" vertical="center"/>
    </xf>
    <xf numFmtId="0" fontId="6" fillId="8" borderId="2" applyAlignment="1" pivotButton="0" quotePrefix="0" xfId="0">
      <alignment horizontal="left" vertical="center"/>
    </xf>
    <xf numFmtId="165" fontId="12" fillId="8" borderId="2" applyAlignment="1" pivotButton="0" quotePrefix="0" xfId="0">
      <alignment horizontal="center" vertical="center"/>
    </xf>
    <xf numFmtId="166" fontId="7" fillId="7" borderId="2" applyAlignment="1" pivotButton="0" quotePrefix="0" xfId="0">
      <alignment horizontal="center" vertical="center"/>
    </xf>
    <xf numFmtId="166" fontId="5" fillId="7" borderId="2" applyAlignment="1" pivotButton="0" quotePrefix="0" xfId="0">
      <alignment horizontal="center" vertical="center"/>
    </xf>
    <xf numFmtId="0" fontId="9" fillId="4" borderId="2" applyAlignment="1" pivotButton="0" quotePrefix="0" xfId="0">
      <alignment horizontal="center" vertical="center"/>
    </xf>
    <xf numFmtId="0" fontId="7" fillId="4" borderId="2" applyAlignment="1" pivotButton="0" quotePrefix="0" xfId="0">
      <alignment horizontal="center" vertical="center"/>
    </xf>
    <xf numFmtId="0" fontId="11" fillId="11" borderId="2" applyAlignment="1" pivotButton="0" quotePrefix="0" xfId="0">
      <alignment horizontal="left" vertical="center" wrapText="1"/>
    </xf>
    <xf numFmtId="166" fontId="10" fillId="8" borderId="2" applyAlignment="1" pivotButton="0" quotePrefix="0" xfId="0">
      <alignment horizontal="center" vertical="center"/>
    </xf>
    <xf numFmtId="0" fontId="13" fillId="8" borderId="2" applyAlignment="1" pivotButton="0" quotePrefix="0" xfId="0">
      <alignment horizontal="center" vertical="center"/>
    </xf>
    <xf numFmtId="0" fontId="0" fillId="0" borderId="3" pivotButton="0" quotePrefix="0" xfId="0"/>
    <xf numFmtId="165" fontId="14" fillId="8" borderId="2" applyAlignment="1" pivotButton="0" quotePrefix="0" xfId="0">
      <alignment horizontal="center" vertical="center"/>
    </xf>
    <xf numFmtId="0" fontId="6" fillId="12" borderId="2" applyAlignment="1" pivotButton="0" quotePrefix="0" xfId="0">
      <alignment horizontal="left" vertical="center"/>
    </xf>
    <xf numFmtId="167" fontId="12" fillId="12" borderId="2" applyAlignment="1" pivotButton="0" quotePrefix="0" xfId="0">
      <alignment horizontal="center" vertical="center"/>
    </xf>
    <xf numFmtId="0" fontId="5" fillId="4" borderId="2" applyAlignment="1" pivotButton="0" quotePrefix="0" xfId="0">
      <alignment horizontal="left" vertical="center"/>
    </xf>
    <xf numFmtId="0" fontId="0" fillId="4" borderId="2" pivotButton="0" quotePrefix="0" xfId="0"/>
    <xf numFmtId="0" fontId="15" fillId="4" borderId="2" applyAlignment="1" pivotButton="0" quotePrefix="0" xfId="0">
      <alignment horizontal="left" vertical="center" wrapText="1"/>
    </xf>
    <xf numFmtId="168" fontId="6" fillId="8" borderId="2" applyAlignment="1" pivotButton="0" quotePrefix="0" xfId="0">
      <alignment horizontal="center" vertical="center"/>
    </xf>
    <xf numFmtId="0" fontId="16" fillId="2" borderId="2" applyAlignment="1" pivotButton="0" quotePrefix="0" xfId="0">
      <alignment horizontal="center" vertical="center"/>
    </xf>
    <xf numFmtId="0" fontId="0" fillId="2" borderId="2" pivotButton="0" quotePrefix="0" xfId="0"/>
    <xf numFmtId="169" fontId="6" fillId="4" borderId="2" applyAlignment="1" pivotButton="0" quotePrefix="0" xfId="0">
      <alignment horizontal="center" vertical="center"/>
    </xf>
    <xf numFmtId="170" fontId="6" fillId="4" borderId="2" applyAlignment="1" pivotButton="0" quotePrefix="0" xfId="0">
      <alignment horizontal="center" vertical="center"/>
    </xf>
    <xf numFmtId="171" fontId="6" fillId="4" borderId="2" applyAlignment="1" pivotButton="0" quotePrefix="0" xfId="0">
      <alignment horizontal="center" vertical="center"/>
    </xf>
    <xf numFmtId="0" fontId="4" fillId="7" borderId="2" applyAlignment="1" pivotButton="0" quotePrefix="0" xfId="0">
      <alignment horizontal="left" vertical="center"/>
    </xf>
    <xf numFmtId="0" fontId="17" fillId="4" borderId="2" applyAlignment="1" pivotButton="0" quotePrefix="0" xfId="0">
      <alignment horizontal="left" vertical="center" wrapText="1"/>
    </xf>
    <xf numFmtId="0" fontId="9" fillId="7" borderId="0" applyAlignment="1" pivotButton="0" quotePrefix="0" xfId="0">
      <alignment horizontal="center" vertical="center"/>
    </xf>
    <xf numFmtId="0" fontId="18" fillId="2" borderId="0" applyAlignment="1" pivotButton="0" quotePrefix="0" xfId="0">
      <alignment horizontal="center" vertical="center"/>
    </xf>
    <xf numFmtId="0" fontId="19" fillId="3" borderId="0" applyAlignment="1" pivotButton="0" quotePrefix="0" xfId="0">
      <alignment horizontal="center" vertical="center"/>
    </xf>
    <xf numFmtId="0" fontId="20" fillId="6" borderId="2" applyAlignment="1" pivotButton="0" quotePrefix="0" xfId="0">
      <alignment horizontal="left" vertical="center"/>
    </xf>
    <xf numFmtId="166" fontId="21" fillId="4" borderId="2" applyAlignment="1" pivotButton="0" quotePrefix="0" xfId="0">
      <alignment horizontal="center" vertical="center"/>
    </xf>
    <xf numFmtId="0" fontId="21" fillId="4" borderId="2" applyAlignment="1" pivotButton="0" quotePrefix="0" xfId="0">
      <alignment horizontal="center" vertical="center"/>
    </xf>
    <xf numFmtId="169" fontId="21" fillId="4" borderId="2" applyAlignment="1" pivotButton="0" quotePrefix="0" xfId="0">
      <alignment horizontal="center" vertical="center"/>
    </xf>
    <xf numFmtId="170" fontId="21" fillId="4" borderId="2" applyAlignment="1" pivotButton="0" quotePrefix="0" xfId="0">
      <alignment horizontal="center" vertical="center"/>
    </xf>
    <xf numFmtId="165" fontId="21"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2" customWidth="1" min="2" max="2"/>
    <col width="18" customWidth="1" min="3" max="3"/>
    <col width="18" customWidth="1" min="4" max="4"/>
    <col width="48" customWidth="1" min="5" max="5"/>
    <col width="4" customWidth="1" min="6" max="6"/>
    <col width="20" customWidth="1" min="7" max="7"/>
  </cols>
  <sheetData>
    <row r="1" ht="36" customHeight="1">
      <c r="A1" s="1" t="inlineStr">
        <is>
          <t>RENTTIA  ·  Calculadora Rent to Rent  v2</t>
        </is>
      </c>
    </row>
    <row r="2" ht="18" customHeight="1">
      <c r="A2" s="2" t="inlineStr">
        <is>
          <t>Regla de la Mentora  ·  IVA integrado por tipo de contrato  ·  Precios individuales por habitación</t>
        </is>
      </c>
    </row>
    <row r="3" ht="6" customHeight="1">
      <c r="A3" s="3" t="n"/>
      <c r="B3" s="3" t="n"/>
      <c r="C3" s="3" t="n"/>
      <c r="D3" s="3" t="n"/>
      <c r="E3" s="3" t="n"/>
      <c r="F3" s="3" t="n"/>
      <c r="G3" s="3" t="n"/>
    </row>
    <row r="4" ht="18" customHeight="1">
      <c r="A4" s="4" t="inlineStr">
        <is>
          <t>CONCEPTO</t>
        </is>
      </c>
      <c r="B4" s="4" t="inlineStr">
        <is>
          <t>VALOR / SELECCIÓN</t>
        </is>
      </c>
      <c r="C4" s="4" t="inlineStr">
        <is>
          <t>€ unitario</t>
        </is>
      </c>
      <c r="D4" s="4" t="inlineStr">
        <is>
          <t>SUBTOTAL</t>
        </is>
      </c>
      <c r="E4" s="4" t="inlineStr">
        <is>
          <t>EVALUACIÓN AUTOMÁTICA</t>
        </is>
      </c>
      <c r="G4" s="4" t="inlineStr">
        <is>
          <t>MÉTRICA</t>
        </is>
      </c>
    </row>
    <row r="5" ht="20" customHeight="1">
      <c r="A5" s="5" t="inlineStr">
        <is>
          <t xml:space="preserve">  📋  DATOS GENERALES</t>
        </is>
      </c>
    </row>
    <row r="6" ht="22" customHeight="1">
      <c r="A6" s="6" t="inlineStr">
        <is>
          <t xml:space="preserve">   🏙️  Ciudad / Zona</t>
        </is>
      </c>
      <c r="B6" s="7" t="inlineStr">
        <is>
          <t>Zaragoza</t>
        </is>
      </c>
      <c r="C6" s="8" t="n"/>
      <c r="D6" s="9" t="n"/>
      <c r="E6" s="10" t="n"/>
    </row>
    <row r="7" ht="22" customHeight="1">
      <c r="A7" s="6" t="inlineStr">
        <is>
          <t xml:space="preserve">   📄  Tipo de contrato</t>
        </is>
      </c>
      <c r="B7" s="7" t="inlineStr">
        <is>
          <t>Explotación (subarriendo propio)</t>
        </is>
      </c>
      <c r="C7" s="11" t="inlineStr">
        <is>
          <t>Ver notas fiscales</t>
        </is>
      </c>
      <c r="D7" s="9" t="n"/>
      <c r="E7" s="10">
        <f>IF(B7="Explotación (subarriendo propio)","Renttia arrienda en nombre propio y subarrienda. Propietario factura IVA 21%. Renttia retiene IRPF 19% (Mod.115).",IF(B7="Gestión — Alquiler garantizado","Renttia gestiona en nombre del propietario. Garantiza renta fija al propietario. Sin IVA sobre alquiler. Renttia cobra la diferencia.","Renttia gestiona en nombre del propietario. Cobra "&amp;B8&amp;"% de comisión + IVA 21%. Sin IVA sobre alquiler al propietario."))</f>
        <v/>
      </c>
    </row>
    <row r="8" ht="22" customHeight="1">
      <c r="A8" s="6" t="inlineStr">
        <is>
          <t xml:space="preserve">   %   Comisión de gestión (solo «Gestión — A porcentaje»)</t>
        </is>
      </c>
      <c r="B8" s="7" t="n">
        <v>25</v>
      </c>
      <c r="C8" s="11" t="inlineStr">
        <is>
          <t>% ingreso bruto</t>
        </is>
      </c>
      <c r="D8" s="9" t="n"/>
      <c r="E8" s="10">
        <f>IF(B7="Gestión — A porcentaje","Renttia factura al propietario: "&amp;B8&amp;"% × ingresos + 21% IVA. IVA neutro para Renttia.","— Solo aplica en «Gestión — A porcentaje» —")</f>
        <v/>
      </c>
    </row>
    <row r="9" ht="22" customHeight="1">
      <c r="A9" s="6" t="inlineStr">
        <is>
          <t xml:space="preserve">   💶  Renta mensual al propietario / renta garantizada (€)</t>
        </is>
      </c>
      <c r="B9" s="7" t="n">
        <v>825</v>
      </c>
      <c r="C9" s="8" t="n"/>
      <c r="D9" s="9" t="n"/>
      <c r="E9" s="10">
        <f>IF(B7="Explotación (subarriendo propio)","Coste real = "&amp;TEXT(B9*1.21,"#,##0")&amp;" €/mes (renta + IVA 21% no recuperable). Retención IRPF "&amp;TEXT(B9*0.19,"#,##0")&amp;" €/mes.",IF(B7="Gestión — Alquiler garantizado","Renttia garantiza "&amp;TEXT(B9,"#,##0")&amp;" €/mes al propietario. SIN IVA (arrendamiento residencial exento). Renttia ingresa el exceso.","Propietario recibe "&amp;TEXT(100-B8,"0")&amp;"% de ingresos. Renttia factura "&amp;B8&amp;"% + IVA 21% (neutro para Renttia)."))</f>
        <v/>
      </c>
      <c r="G9" s="12">
        <f>IF(B7="Explotación (subarriendo propio)",B9*1.21,B9)</f>
        <v/>
      </c>
    </row>
    <row r="10" ht="22" customHeight="1">
      <c r="A10" s="6" t="inlineStr">
        <is>
          <t xml:space="preserve">   🚪  Habitaciones ORIGINALES del piso</t>
        </is>
      </c>
      <c r="B10" s="7" t="n">
        <v>3</v>
      </c>
      <c r="C10" s="8" t="n"/>
      <c r="D10" s="9" t="n"/>
      <c r="E10" s="10" t="n"/>
    </row>
    <row r="11" ht="22" customHeight="1">
      <c r="A11" s="6" t="inlineStr">
        <is>
          <t xml:space="preserve">   🔄  Habitaciones EXTRA (salón → hab) [0,1,2]</t>
        </is>
      </c>
      <c r="B11" s="7" t="n">
        <v>1</v>
      </c>
      <c r="C11" s="11" t="inlineStr">
        <is>
          <t>0, 1 o 2</t>
        </is>
      </c>
      <c r="D11" s="9" t="n"/>
      <c r="E11" s="10" t="n"/>
    </row>
    <row r="12" ht="22" customHeight="1">
      <c r="A12" s="6" t="inlineStr">
        <is>
          <t xml:space="preserve">   🏠  TOTAL HABITACIONES (automático)</t>
        </is>
      </c>
      <c r="B12" s="13">
        <f>B10+B11</f>
        <v/>
      </c>
      <c r="C12" s="11">
        <f> B10 + B11</f>
        <v/>
      </c>
      <c r="D12" s="9" t="n"/>
      <c r="E12" s="10" t="n"/>
    </row>
    <row r="13" ht="22" customHeight="1">
      <c r="A13" s="6" t="inlineStr">
        <is>
          <t xml:space="preserve">   🧱  ¿Las hab. de conversión requieren tabiquería/pladur?</t>
        </is>
      </c>
      <c r="B13" s="7" t="inlineStr">
        <is>
          <t>Sí</t>
        </is>
      </c>
      <c r="C13" s="11" t="inlineStr">
        <is>
          <t>Solo si B11 &gt; 0</t>
        </is>
      </c>
      <c r="D13" s="9" t="n"/>
      <c r="E13" s="10" t="n"/>
    </row>
    <row r="14" ht="22" customHeight="1">
      <c r="A14" s="6" t="inlineStr">
        <is>
          <t xml:space="preserve">   💡  Gastos suministros por habitación (€/mes)</t>
        </is>
      </c>
      <c r="B14" s="7" t="n">
        <v>40</v>
      </c>
      <c r="C14" s="11" t="inlineStr">
        <is>
          <t>estimación media</t>
        </is>
      </c>
      <c r="D14" s="9" t="n"/>
      <c r="E14" s="10" t="n"/>
    </row>
    <row r="15" ht="8" customHeight="1">
      <c r="A15" s="3" t="n"/>
      <c r="B15" s="3" t="n"/>
      <c r="C15" s="3" t="n"/>
      <c r="D15" s="3" t="n"/>
      <c r="E15" s="3" t="n"/>
      <c r="F15" s="3" t="n"/>
      <c r="G15" s="3" t="n"/>
    </row>
    <row r="16" ht="20" customHeight="1">
      <c r="A16" s="5" t="inlineStr">
        <is>
          <t xml:space="preserve">  🏷️  PRECIOS INDIVIDUALES POR HABITACIÓN — Ajusta cada uno según tamaño y calidad</t>
        </is>
      </c>
    </row>
    <row r="17" ht="30" customHeight="1">
      <c r="A17" s="14" t="inlineStr">
        <is>
          <t>✏️  Rellena el precio de cada habitación activa. Deja en 0 las que no uses. El total suma todas las celdas — es tan sencillo como eso.</t>
        </is>
      </c>
    </row>
    <row r="18" ht="22" customHeight="1">
      <c r="A18" s="6" t="inlineStr">
        <is>
          <t xml:space="preserve">   🛏️  Habitación original 1  ← rellena según B10</t>
        </is>
      </c>
      <c r="B18" s="15" t="n">
        <v>420</v>
      </c>
      <c r="C18" s="11" t="inlineStr">
        <is>
          <t>€/mes</t>
        </is>
      </c>
      <c r="D18" s="9" t="n"/>
      <c r="E18" s="10" t="n"/>
    </row>
    <row r="19" ht="22" customHeight="1">
      <c r="A19" s="6" t="inlineStr">
        <is>
          <t xml:space="preserve">   🛏️  Habitación original 2</t>
        </is>
      </c>
      <c r="B19" s="15" t="n">
        <v>400</v>
      </c>
      <c r="C19" s="11" t="inlineStr">
        <is>
          <t>€/mes</t>
        </is>
      </c>
      <c r="D19" s="9" t="n"/>
      <c r="E19" s="10" t="n"/>
    </row>
    <row r="20" ht="22" customHeight="1">
      <c r="A20" s="6" t="inlineStr">
        <is>
          <t xml:space="preserve">   🛏️  Habitación original 3</t>
        </is>
      </c>
      <c r="B20" s="15" t="n">
        <v>400</v>
      </c>
      <c r="C20" s="11" t="inlineStr">
        <is>
          <t>€/mes</t>
        </is>
      </c>
      <c r="D20" s="9" t="n"/>
      <c r="E20" s="10" t="n"/>
    </row>
    <row r="21" ht="22" customHeight="1">
      <c r="A21" s="6" t="inlineStr">
        <is>
          <t xml:space="preserve">   🛏️  Habitación original 4  (pon 0 si solo tienes 3)</t>
        </is>
      </c>
      <c r="B21" s="15" t="n">
        <v>0</v>
      </c>
      <c r="C21" s="11" t="inlineStr">
        <is>
          <t>€/mes</t>
        </is>
      </c>
      <c r="D21" s="9" t="n"/>
      <c r="E21" s="10" t="n"/>
    </row>
    <row r="22" ht="22" customHeight="1">
      <c r="A22" s="6" t="inlineStr">
        <is>
          <t xml:space="preserve">   🛏️  Habitación original 5  (pon 0 si no aplica)</t>
        </is>
      </c>
      <c r="B22" s="15" t="n">
        <v>0</v>
      </c>
      <c r="C22" s="11" t="inlineStr">
        <is>
          <t>€/mes</t>
        </is>
      </c>
      <c r="D22" s="9" t="n"/>
      <c r="E22" s="10" t="n"/>
    </row>
    <row r="23" ht="22" customHeight="1">
      <c r="A23" s="6" t="inlineStr">
        <is>
          <t xml:space="preserve">   🛏️  Habitación original 6  (pon 0 si no aplica)</t>
        </is>
      </c>
      <c r="B23" s="15" t="n">
        <v>0</v>
      </c>
      <c r="C23" s="11" t="inlineStr">
        <is>
          <t>€/mes</t>
        </is>
      </c>
      <c r="D23" s="9" t="n"/>
      <c r="E23" s="10" t="n"/>
    </row>
    <row r="24" ht="22" customHeight="1">
      <c r="A24" s="16" t="inlineStr">
        <is>
          <t xml:space="preserve">   🔄  Conversión 1 — salón → hab.  ← activa si B11 ≥ 1</t>
        </is>
      </c>
      <c r="B24" s="17" t="n">
        <v>350</v>
      </c>
      <c r="C24" s="11" t="inlineStr">
        <is>
          <t>€/mes</t>
        </is>
      </c>
      <c r="D24" s="9" t="n"/>
      <c r="E24" s="10" t="n"/>
    </row>
    <row r="25" ht="22" customHeight="1">
      <c r="A25" s="16" t="inlineStr">
        <is>
          <t xml:space="preserve">   🔄  Conversión 2 — salón → hab. extra  ← activa si B11 = 2</t>
        </is>
      </c>
      <c r="B25" s="17" t="n">
        <v>0</v>
      </c>
      <c r="C25" s="11" t="inlineStr">
        <is>
          <t>€/mes</t>
        </is>
      </c>
      <c r="D25" s="9" t="n"/>
      <c r="E25" s="10" t="n"/>
    </row>
    <row r="26" ht="24" customHeight="1">
      <c r="A26" s="18" t="inlineStr">
        <is>
          <t xml:space="preserve">   💵  INGRESOS BRUTOS TOTALES / MES (suma de B18:B25  —  pon 0 en las hab. que no uses)</t>
        </is>
      </c>
      <c r="D26" s="19">
        <f>SUM(B18:B25)</f>
        <v/>
      </c>
    </row>
    <row r="27" ht="8" customHeight="1">
      <c r="A27" s="3" t="n"/>
      <c r="B27" s="3" t="n"/>
      <c r="C27" s="3" t="n"/>
      <c r="D27" s="3" t="n"/>
      <c r="E27" s="3" t="n"/>
      <c r="F27" s="3" t="n"/>
      <c r="G27" s="3" t="n"/>
    </row>
    <row r="28" ht="20" customHeight="1">
      <c r="A28" s="5" t="inlineStr">
        <is>
          <t xml:space="preserve">  🏗️  COMPONENTES DE INVERSIÓN — Selecciona lo que necesita el piso</t>
        </is>
      </c>
    </row>
    <row r="29" ht="22" customHeight="1">
      <c r="A29" s="6" t="inlineStr">
        <is>
          <t xml:space="preserve">   📐  Metros cuadrados del piso (m²)</t>
        </is>
      </c>
      <c r="B29" s="7" t="n">
        <v>70</v>
      </c>
      <c r="C29" s="11" t="inlineStr">
        <is>
          <t>Para reforma integral</t>
        </is>
      </c>
      <c r="D29" s="9" t="n"/>
      <c r="E29" s="10" t="n"/>
    </row>
    <row r="30" ht="22" customHeight="1">
      <c r="A30" s="6" t="inlineStr">
        <is>
          <t xml:space="preserve">   🚿  Número de baños</t>
        </is>
      </c>
      <c r="B30" s="7" t="n">
        <v>1</v>
      </c>
      <c r="C30" s="11" t="inlineStr">
        <is>
          <t>Para reforma baño</t>
        </is>
      </c>
      <c r="D30" s="9" t="n"/>
      <c r="E30" s="10" t="n"/>
    </row>
    <row r="31" ht="22" customHeight="1">
      <c r="A31" s="6" t="inlineStr">
        <is>
          <t xml:space="preserve">   🎨  ¿Pintura y saneamiento general?</t>
        </is>
      </c>
      <c r="B31" s="7" t="inlineStr">
        <is>
          <t>No</t>
        </is>
      </c>
      <c r="C31" s="20" t="n">
        <v>250</v>
      </c>
      <c r="D31" s="21">
        <f>IF(B31="Sí",B12*250,0)</f>
        <v/>
      </c>
      <c r="E31" s="10" t="n"/>
    </row>
    <row r="32" ht="22" customHeight="1">
      <c r="A32" s="6" t="inlineStr">
        <is>
          <t xml:space="preserve">   🪑  ¿Mobiliario completo por habitación?</t>
        </is>
      </c>
      <c r="B32" s="7" t="inlineStr">
        <is>
          <t>No</t>
        </is>
      </c>
      <c r="C32" s="20" t="n">
        <v>700</v>
      </c>
      <c r="D32" s="21">
        <f>IF(B32="Sí",B12*700,0)</f>
        <v/>
      </c>
      <c r="E32" s="10" t="n"/>
    </row>
    <row r="33" ht="22" customHeight="1">
      <c r="A33" s="6" t="inlineStr">
        <is>
          <t xml:space="preserve">   🍽️  ¿Menaje cocina y zonas comunes?</t>
        </is>
      </c>
      <c r="B33" s="7" t="inlineStr">
        <is>
          <t>No</t>
        </is>
      </c>
      <c r="C33" s="20" t="n">
        <v>300</v>
      </c>
      <c r="D33" s="21">
        <f>IF(B33="Sí",300,0)</f>
        <v/>
      </c>
      <c r="E33" s="10" t="n"/>
    </row>
    <row r="34" ht="22" customHeight="1">
      <c r="A34" s="6" t="inlineStr">
        <is>
          <t xml:space="preserve">   🔒  ¿Cerrojos individuales?</t>
        </is>
      </c>
      <c r="B34" s="7" t="inlineStr">
        <is>
          <t>No</t>
        </is>
      </c>
      <c r="C34" s="20" t="n">
        <v>100</v>
      </c>
      <c r="D34" s="21">
        <f>IF(B34="Sí",B12*100,0)</f>
        <v/>
      </c>
      <c r="E34" s="10" t="n"/>
    </row>
    <row r="35" ht="22" customHeight="1">
      <c r="A35" s="6" t="inlineStr">
        <is>
          <t xml:space="preserve">   🔦  ¿Iluminación LED?</t>
        </is>
      </c>
      <c r="B35" s="7" t="inlineStr">
        <is>
          <t>No</t>
        </is>
      </c>
      <c r="C35" s="20" t="n">
        <v>75</v>
      </c>
      <c r="D35" s="21">
        <f>IF(B35="Sí",B12*75,0)</f>
        <v/>
      </c>
      <c r="E35" s="10" t="n"/>
    </row>
    <row r="36" ht="22" customHeight="1">
      <c r="A36" s="6" t="inlineStr">
        <is>
          <t xml:space="preserve">   🍳  ¿Reforma de cocina? (precio orientativo)</t>
        </is>
      </c>
      <c r="B36" s="7" t="inlineStr">
        <is>
          <t>No</t>
        </is>
      </c>
      <c r="C36" s="20" t="n">
        <v>6000</v>
      </c>
      <c r="D36" s="21">
        <f>IF(B36="Sí",6000,0)</f>
        <v/>
      </c>
      <c r="E36" s="10" t="n"/>
    </row>
    <row r="37" ht="22" customHeight="1">
      <c r="A37" s="6" t="inlineStr">
        <is>
          <t xml:space="preserve">   🚿  ¿Reforma de baño/s? (precio × nº baños)</t>
        </is>
      </c>
      <c r="B37" s="7" t="inlineStr">
        <is>
          <t>No</t>
        </is>
      </c>
      <c r="C37" s="20" t="n">
        <v>4500</v>
      </c>
      <c r="D37" s="21">
        <f>IF(B37="Sí",B30*4500,0)</f>
        <v/>
      </c>
      <c r="E37" s="10" t="n"/>
    </row>
    <row r="38" ht="22" customHeight="1">
      <c r="A38" s="6" t="inlineStr">
        <is>
          <t xml:space="preserve">   🔨  ¿Reforma integral del piso? (€500/m²)</t>
        </is>
      </c>
      <c r="B38" s="7" t="inlineStr">
        <is>
          <t>No</t>
        </is>
      </c>
      <c r="C38" s="20" t="n">
        <v>500</v>
      </c>
      <c r="D38" s="21">
        <f>IF(B38="Sí",B29*500,0)</f>
        <v/>
      </c>
      <c r="E38" s="10" t="n"/>
    </row>
    <row r="39" ht="22" customHeight="1">
      <c r="A39" s="6" t="inlineStr">
        <is>
          <t xml:space="preserve">   🧱  ¿Tabiquería/pladur hab. de conversión?</t>
        </is>
      </c>
      <c r="B39" s="22" t="inlineStr">
        <is>
          <t>← automático (ver B13)</t>
        </is>
      </c>
      <c r="C39" s="20" t="n">
        <v>1500</v>
      </c>
      <c r="D39" s="21">
        <f>IF(AND(B13="Sí",B11&gt;0),B11*1500,0)</f>
        <v/>
      </c>
      <c r="E39" s="10" t="n"/>
    </row>
    <row r="40" ht="22" customHeight="1">
      <c r="A40" s="6" t="inlineStr">
        <is>
          <t xml:space="preserve">   📸  Fotografía profesional + home staging (siempre)</t>
        </is>
      </c>
      <c r="B40" s="23" t="inlineStr">
        <is>
          <t>Incluida</t>
        </is>
      </c>
      <c r="C40" s="8" t="n"/>
      <c r="D40" s="21">
        <f>350</f>
        <v/>
      </c>
      <c r="E40" s="10" t="n"/>
    </row>
    <row r="41" ht="30" customHeight="1">
      <c r="A41" s="24" t="inlineStr">
        <is>
          <t>💡  Si marcas Reforma Integral, desmarca Reforma Cocina y Reforma Baño por separado (ya están incluidas). Precios orientativos España 2025: cocina media ~6.000-9.000€ · baño completo ~4.500-5.500€ · integral básica ~500€/m².</t>
        </is>
      </c>
    </row>
    <row r="42" ht="24" customHeight="1">
      <c r="A42" s="18" t="inlineStr">
        <is>
          <t xml:space="preserve">   💰  INVERSIÓN TOTAL ESTIMADA  (suma componentes seleccionados)</t>
        </is>
      </c>
      <c r="D42" s="25">
        <f>SUM(D31:D40)</f>
        <v/>
      </c>
    </row>
    <row r="43" ht="8" customHeight="1">
      <c r="A43" s="3" t="n"/>
      <c r="B43" s="3" t="n"/>
      <c r="C43" s="3" t="n"/>
      <c r="D43" s="3" t="n"/>
      <c r="E43" s="3" t="n"/>
      <c r="F43" s="3" t="n"/>
      <c r="G43" s="3" t="n"/>
    </row>
    <row r="44" ht="20" customHeight="1">
      <c r="A44" s="5" t="inlineStr">
        <is>
          <t xml:space="preserve">  📊  ANÁLISIS FINANCIERO MENSUAL</t>
        </is>
      </c>
    </row>
    <row r="45" ht="22" customHeight="1">
      <c r="A45" s="6" t="inlineStr">
        <is>
          <t xml:space="preserve">   💵  Ingresos brutos / mes (suma hab. activas)</t>
        </is>
      </c>
      <c r="B45" s="15">
        <f>D26</f>
        <v/>
      </c>
      <c r="C45" s="11" t="inlineStr">
        <is>
          <t>← de sección precios</t>
        </is>
      </c>
      <c r="D45" s="9" t="n"/>
      <c r="E45" s="10" t="n"/>
    </row>
    <row r="46" ht="22" customHeight="1">
      <c r="A46" s="6" t="inlineStr">
        <is>
          <t xml:space="preserve">   💡  Gastos suministros totales (€/mes)</t>
        </is>
      </c>
      <c r="B46" s="15">
        <f>B14*B12</f>
        <v/>
      </c>
      <c r="C46" s="11" t="inlineStr">
        <is>
          <t>suministros × habs</t>
        </is>
      </c>
      <c r="D46" s="9" t="n"/>
      <c r="E46" s="10" t="n"/>
    </row>
    <row r="47" ht="22" customHeight="1">
      <c r="A47" s="6" t="inlineStr">
        <is>
          <t xml:space="preserve">   🧾  IVA 21% sobre alquiler (solo Explotación — gasto irrecuperable)</t>
        </is>
      </c>
      <c r="B47" s="15">
        <f>IF(B7="Explotación (subarriendo propio)",B9*0.21,0)</f>
        <v/>
      </c>
      <c r="C47" s="11" t="inlineStr">
        <is>
          <t>gasto directo</t>
        </is>
      </c>
      <c r="D47" s="9" t="n"/>
      <c r="E47" s="10">
        <f>IF(B7="Explotación (subarriendo propio)","❌ GASTO: "&amp;TEXT(B9*0.21,"#,##0")&amp;" €/mes — el propietario te factura IVA 21% porque Renttia es empresa. No recuperable.","✅ SIN GASTO: En Gestión, el arrendamiento es residencial (exento IVA). Te ahorras "&amp;TEXT(B9*0.21,"#,##0")&amp;" €/mes.")</f>
        <v/>
      </c>
    </row>
    <row r="48" ht="22" customHeight="1">
      <c r="A48" s="6" t="inlineStr">
        <is>
          <t xml:space="preserve">   📋  Retención IRPF Mod.115 — 19% a ingresar en AEAT (solo Explotación)</t>
        </is>
      </c>
      <c r="B48" s="15">
        <f>IF(B7="Explotación (subarriendo propio)",B9*0.19,0)</f>
        <v/>
      </c>
      <c r="C48" s="11" t="inlineStr">
        <is>
          <t>flujo trimestral</t>
        </is>
      </c>
      <c r="D48" s="9" t="n"/>
      <c r="E48" s="10">
        <f>IF(B7="Explotación (subarriendo propio)","Retienes "&amp;TEXT(B9*0.19,"#,##0")&amp;" €/mes del pago al propietario e ingresas a AEAT trimestralmente (Mod.115). No es pérdida, pero inmoviliza tesorería.","— No aplica. En Gestión el propietario gestiona su propio IRPF con los inquilinos.")</f>
        <v/>
      </c>
    </row>
    <row r="49" ht="22" customHeight="1">
      <c r="A49" s="6" t="inlineStr">
        <is>
          <t xml:space="preserve">   💰  Ingresos efectivos de Renttia (según modelo)</t>
        </is>
      </c>
      <c r="B49" s="15">
        <f>IF(B7="Explotación (subarriendo propio)",D26,IF(B7="Gestión — Alquiler garantizado",D26-B9,D26*(B8/100)))</f>
        <v/>
      </c>
      <c r="C49" s="11" t="inlineStr">
        <is>
          <t>ingresos reales Renttia</t>
        </is>
      </c>
      <c r="D49" s="9" t="n"/>
      <c r="E49" s="10">
        <f>IF(B7="Explotación (subarriendo propio)","Explotación: Renttia percibe el 100% de los alquileres de habitaciones (" &amp;TEXT(D26,"#,##0")&amp;" €).",IF(B7="Gestión — Alquiler garantizado","Alquiler garantizado: Renttia percibe la diferencia entre ingresos (" &amp;TEXT(D26,"#,##0")&amp;" €) y renta garantizada (" &amp;TEXT(B9,"#,##0")&amp;" €) = "&amp;TEXT(D26-B9,"#,##0")&amp;" €.","Gestión "&amp;B8&amp;"%: Renttia percibe "&amp;TEXT(D26*(B8/100),"#,##0")&amp;" € de comisión sobre "&amp;TEXT(D26,"#,##0")&amp;" € brutos. IVA 21% neutro (se cobra y se ingresa a AEAT)."))</f>
        <v/>
      </c>
    </row>
    <row r="50" ht="28" customHeight="1">
      <c r="A50" s="26">
        <f>IF(B7="Explotación (subarriendo propio)","  📐  Cálculo:  Ingresos ("&amp;TEXT(D26,"#,##0")&amp;" €)"&amp;"  −  Alquiler propietario ("&amp;TEXT(B9,"#,##0")&amp;" €)"&amp;"  −  IVA 21% ("&amp;TEXT(B9*0.21,"#,##0")&amp;" €)"&amp;"  −  Suministros ("&amp;TEXT(B46,"#,##0")&amp;" €)"&amp;"  =  "&amp;TEXT(D26-B9-(B9*0.21)-B46,"#,##0")&amp;" €",IF(B7="Gestión — Alquiler garantizado","  📐  Cálculo:  Ingresos ("&amp;TEXT(D26,"#,##0")&amp;" €)"&amp;"  −  Renta garantizada ("&amp;TEXT(B9,"#,##0")&amp;" €)"&amp;"  −  Suministros ("&amp;TEXT(B46,"#,##0")&amp;" €)"&amp;"  =  "&amp;TEXT(D26-B9-B46,"#,##0")&amp;" €","  📐  Cálculo:  Comisión "&amp;B8&amp;"% × ("&amp;TEXT(D26,"#,##0")&amp;" €)"&amp;"  −  Suministros ("&amp;TEXT(B46,"#,##0")&amp;" €)"&amp;"  =  "&amp;TEXT(D26*(B8/100)-B46,"#,##0")&amp;" €"))</f>
        <v/>
      </c>
      <c r="B50" s="27" t="n"/>
      <c r="C50" s="27" t="n"/>
      <c r="D50" s="27" t="n"/>
      <c r="E50" s="27" t="n"/>
      <c r="F50" s="27" t="n"/>
      <c r="G50" s="27" t="n"/>
    </row>
    <row r="51" ht="24" customHeight="1">
      <c r="A51" s="18" t="inlineStr">
        <is>
          <t xml:space="preserve">   🏆  MARGEN NETO MENSUAL REAL</t>
        </is>
      </c>
      <c r="D51" s="28">
        <f>IF(B7="Explotación (subarriendo propio)",D26-B9-(B9*0.21)-B46,IF(B7="Gestión — Alquiler garantizado",D26-B9-B46,D26*(B8/100)-B46))</f>
        <v/>
      </c>
    </row>
    <row r="52" ht="24" customHeight="1">
      <c r="A52" s="29" t="inlineStr">
        <is>
          <t xml:space="preserve">   👤  Beneficio neto por habitación (€/mes)</t>
        </is>
      </c>
      <c r="D52" s="30">
        <f>IFERROR(D51/B12,0)</f>
        <v/>
      </c>
    </row>
    <row r="53" ht="8" customHeight="1">
      <c r="A53" s="3" t="n"/>
      <c r="B53" s="3" t="n"/>
      <c r="C53" s="3" t="n"/>
      <c r="D53" s="3" t="n"/>
      <c r="E53" s="3" t="n"/>
      <c r="F53" s="3" t="n"/>
      <c r="G53" s="3" t="n"/>
    </row>
    <row r="54" ht="20" customHeight="1">
      <c r="A54" s="5" t="inlineStr">
        <is>
          <t xml:space="preserve">  ✅  FILTROS — Regla de la Mentora (los 3 deben estar en verde para operar)</t>
        </is>
      </c>
    </row>
    <row r="55" ht="22" customHeight="1">
      <c r="A55" s="31" t="inlineStr">
        <is>
          <t xml:space="preserve">   🔎  Filtro 1 — Beneficio mínimo ≥ 100 €/hab</t>
        </is>
      </c>
      <c r="B55" s="32" t="n"/>
      <c r="C55" s="32" t="n"/>
      <c r="D55" s="32" t="n"/>
      <c r="E55" s="33">
        <f>IF(D52&gt;=100,"✅ APTO — Beneficio/hab "&amp;TEXT(D52,"#,##0.0")&amp;" € ≥ 100€","❌ NO APTO — Beneficio/hab "&amp;TEXT(D52,"#,##0.0")&amp;" € &lt; 100€")</f>
        <v/>
      </c>
      <c r="F55" s="32" t="n"/>
      <c r="G55" s="34">
        <f>D52</f>
        <v/>
      </c>
    </row>
    <row r="56" ht="22" customHeight="1">
      <c r="A56" s="31" t="inlineStr">
        <is>
          <t xml:space="preserve">   🔎  Filtro 2 — Margen neto &gt; precio máx. habitación (protección vacancia)</t>
        </is>
      </c>
      <c r="B56" s="32" t="n"/>
      <c r="C56" s="32" t="n"/>
      <c r="D56" s="32" t="n"/>
      <c r="E56" s="33">
        <f>IF(D51&gt;MAX(B18:B25),"✅ SEGURO — Caja cubre vacancia de la hab. más cara","🔴 RIESGO — Con una hab. vacía perderías dinero")</f>
        <v/>
      </c>
      <c r="F56" s="32" t="n"/>
      <c r="G56" s="34">
        <f>D51-MAX(B18:B25)</f>
        <v/>
      </c>
    </row>
    <row r="57" ht="22" customHeight="1">
      <c r="A57" s="31" t="inlineStr">
        <is>
          <t xml:space="preserve">   🔎  Filtro 3 — Payback inversión ≤ 15 meses</t>
        </is>
      </c>
      <c r="B57" s="32" t="n"/>
      <c r="C57" s="32" t="n"/>
      <c r="D57" s="32" t="n"/>
      <c r="E57" s="33">
        <f>IF(IFERROR(D42/D51,99)&lt;=15,"🚀 EXCELENTE — Payback "&amp;TEXT(IFERROR(D42/D51,0),"#,##0.0")&amp;" meses","⏳ LENTO — Payback "&amp;TEXT(IFERROR(D42/D51,0),"#,##0.0")&amp;" meses &gt; 15")</f>
        <v/>
      </c>
      <c r="F57" s="32" t="n"/>
      <c r="G57" s="34">
        <f>IFERROR(D42/D51,0)</f>
        <v/>
      </c>
    </row>
    <row r="58" ht="28" customHeight="1">
      <c r="A58" s="35">
        <f>IF(AND(D52&gt;=100,D51&gt;MAX(B18:B25),IFERROR(D42/D51,99)&lt;=15),"🟢  OPERACIÓN VIABLE — Los 3 filtros en verde. Llama al propietario.","🔴  NO OPERAR — Revisa los filtros en rojo antes de comprometerte.")</f>
        <v/>
      </c>
      <c r="E58" s="36" t="n"/>
      <c r="F58" s="36" t="n"/>
      <c r="G58" s="36" t="n"/>
    </row>
    <row r="59" ht="8" customHeight="1">
      <c r="A59" s="3" t="n"/>
      <c r="B59" s="3" t="n"/>
      <c r="C59" s="3" t="n"/>
      <c r="D59" s="3" t="n"/>
      <c r="E59" s="3" t="n"/>
      <c r="F59" s="3" t="n"/>
      <c r="G59" s="3" t="n"/>
    </row>
    <row r="60" ht="20" customHeight="1">
      <c r="A60" s="5" t="inlineStr">
        <is>
          <t xml:space="preserve">  📈  INVERSIÓN Y RETORNO</t>
        </is>
      </c>
    </row>
    <row r="61" ht="22" customHeight="1">
      <c r="A61" s="6" t="inlineStr">
        <is>
          <t xml:space="preserve">   🏦  Fianza al propietario (2 meses)</t>
        </is>
      </c>
      <c r="B61" s="15">
        <f>B9*2</f>
        <v/>
      </c>
      <c r="C61" s="11" t="inlineStr">
        <is>
          <t>desembolso inicial</t>
        </is>
      </c>
      <c r="D61" s="9" t="n"/>
      <c r="E61" s="10" t="n"/>
    </row>
    <row r="62" ht="22" customHeight="1">
      <c r="A62" s="6" t="inlineStr">
        <is>
          <t xml:space="preserve">   💸  DESEMBOLSO INICIAL TOTAL (inversión + fianza)</t>
        </is>
      </c>
      <c r="B62" s="15">
        <f>D42+B61</f>
        <v/>
      </c>
      <c r="C62" s="11" t="inlineStr">
        <is>
          <t>total a desembolsar</t>
        </is>
      </c>
      <c r="D62" s="9" t="n"/>
      <c r="E62" s="10" t="n"/>
    </row>
    <row r="63" ht="22" customHeight="1">
      <c r="A63" s="6" t="inlineStr">
        <is>
          <t xml:space="preserve">   📅  Payback (meses para recuperar inversión)</t>
        </is>
      </c>
      <c r="B63" s="37">
        <f>IFERROR(D42/D51,0)</f>
        <v/>
      </c>
      <c r="C63" s="11" t="inlineStr">
        <is>
          <t>meses</t>
        </is>
      </c>
      <c r="D63" s="9" t="n"/>
      <c r="E63" s="10" t="n"/>
    </row>
    <row r="64" ht="22" customHeight="1">
      <c r="A64" s="6" t="inlineStr">
        <is>
          <t xml:space="preserve">   📊  ROI anual sobre inversión total (%)</t>
        </is>
      </c>
      <c r="B64" s="38">
        <f>IFERROR((D51*12/D42)*100,0)</f>
        <v/>
      </c>
      <c r="C64" s="11" t="inlineStr">
        <is>
          <t>% anual</t>
        </is>
      </c>
      <c r="D64" s="9" t="n"/>
      <c r="E64" s="10" t="n"/>
    </row>
    <row r="65" ht="22" customHeight="1">
      <c r="A65" s="6" t="inlineStr">
        <is>
          <t xml:space="preserve">   💵  Ingresos brutos anuales estimados</t>
        </is>
      </c>
      <c r="B65" s="39">
        <f>D26*12</f>
        <v/>
      </c>
      <c r="C65" s="11" t="inlineStr">
        <is>
          <t>brutos año</t>
        </is>
      </c>
      <c r="D65" s="9" t="n"/>
      <c r="E65" s="10" t="n"/>
    </row>
    <row r="66" ht="22" customHeight="1">
      <c r="A66" s="6" t="inlineStr">
        <is>
          <t xml:space="preserve">   🏆  Beneficio neto anual real</t>
        </is>
      </c>
      <c r="B66" s="39">
        <f>D51*12</f>
        <v/>
      </c>
      <c r="C66" s="11" t="inlineStr">
        <is>
          <t>neto año</t>
        </is>
      </c>
      <c r="D66" s="9" t="n"/>
      <c r="E66" s="10" t="n"/>
    </row>
    <row r="67" ht="8" customHeight="1">
      <c r="A67" s="3" t="n"/>
      <c r="B67" s="3" t="n"/>
      <c r="C67" s="3" t="n"/>
      <c r="D67" s="3" t="n"/>
      <c r="E67" s="3" t="n"/>
      <c r="F67" s="3" t="n"/>
      <c r="G67" s="3" t="n"/>
    </row>
    <row r="68" ht="20" customHeight="1">
      <c r="A68" s="5" t="inlineStr">
        <is>
          <t xml:space="preserve">  🧾  NOTAS FISCALES — Marco Jurídico-Fiscal España 2025</t>
        </is>
      </c>
    </row>
    <row r="69" ht="40" customHeight="1">
      <c r="A69" s="40" t="inlineStr">
        <is>
          <t xml:space="preserve">   📄  EXPLOTACIÓN (subarriendo en nombre propio)</t>
        </is>
      </c>
      <c r="B69" s="41" t="inlineStr">
        <is>
          <t>Renttia arrienda el piso completo al propietario como EMPRESA (uso distinto de vivienda, Código Civil). El propietario factura con IVA 21% porque el arrendatario es una empresa y no usará el piso como vivienda propia. Ese IVA 21% es un GASTO DIRECTO e IRRECUPERABLE para Renttia. Renttia subarrienda habitaciones a personas físicas (residencial → EXENTO de IVA). Además, Renttia retiene el 19% de la renta bruta e ingresa trimestralmente a AEAT (Mod. 115). BASE LEGAL: Art. 20.Uno.23º LIVA · Resolución DGT V0019-24.</t>
        </is>
      </c>
    </row>
    <row r="70" ht="40" customHeight="1">
      <c r="A70" s="40" t="inlineStr">
        <is>
          <t xml:space="preserve">   📄  GESTIÓN — Alquiler garantizado</t>
        </is>
      </c>
      <c r="B70" s="41" t="inlineStr">
        <is>
          <t>Renttia gestiona en nombre y representación del propietario. El propietario recibe una renta fija garantizada mensual independientemente de la ocupación. El arrendamiento a los inquilinos es RESIDENCIAL → EXENTO de IVA. Renttia NO paga IVA sobre la renta al propietario. Renttia cobra la diferencia entre los ingresos de habitaciones y la renta garantizada. Ventaja: ahorro del 21% IVA sobre la renta al propietario. La comisión de gestión de Renttia (si se formaliza) lleva IVA 21% pero es neutra. BASE LEGAL: Art. 20.Uno.23º LIVA (exención residencial) · DGT V0019-24.</t>
        </is>
      </c>
    </row>
    <row r="71" ht="40" customHeight="1">
      <c r="A71" s="40" t="inlineStr">
        <is>
          <t xml:space="preserve">   📄  GESTIÓN — A porcentaje de ingresos</t>
        </is>
      </c>
      <c r="B71" s="41" t="inlineStr">
        <is>
          <t>Renttia gestiona en nombre del propietario y cobra un % de los ingresos brutos como comisión. El propietario recibe (100-%) de los ingresos. El arrendamiento residencial a los inquilinos está EXENTO de IVA. Renttia factura al propietario su comisión + 21% IVA (neutro: lo recauda y lo ingresa en AEAT). Sin IVA sobre la renta al propietario. Adecuado cuando los ingresos son variables y el propietario quiere participar en la rentabilidad.</t>
        </is>
      </c>
    </row>
    <row r="72" ht="40" customHeight="1">
      <c r="A72" s="40" t="inlineStr">
        <is>
          <t xml:space="preserve">   🧾  Modelo 115 — Solo en Explotación</t>
        </is>
      </c>
      <c r="B72" s="41" t="inlineStr">
        <is>
          <t>Obligatorio en arrendamientos de inmuebles urbanos donde el arrendatario es empresa/autónomo. Retención del 19% sobre la renta bruta mensual. Ingreso trimestral en AEAT (abril, julio, octubre, enero). No es un coste real para Renttia (se descuenta del pago al propietario), pero inmoviliza tesorería. En modelos de Gestión NO aplica.</t>
        </is>
      </c>
    </row>
    <row r="73" ht="40" customHeight="1">
      <c r="A73" s="40" t="inlineStr">
        <is>
          <t xml:space="preserve">   🏗️  Reforma — IVA aplicable</t>
        </is>
      </c>
      <c r="B73" s="41" t="inlineStr">
        <is>
          <t>Obras de reforma en vivienda habitual: IVA 10% (reducido). Si el inmueble se usa para actividad económica (como en Explotación): IVA 21%, deducible si Renttia está en régimen general de IVA. En Gestión, si el propietario encarga la obra, aplica el 10% reducido.</t>
        </is>
      </c>
    </row>
    <row r="74" ht="40" customHeight="1">
      <c r="A74" s="40" t="inlineStr">
        <is>
          <t xml:space="preserve">   ⚖️  Contrato — Cláusulas esenciales</t>
        </is>
      </c>
      <c r="B74" s="41" t="inlineStr">
        <is>
          <t>En EXPLOTACIÓN: autorización expresa de subarrendamiento (art.8 LAU), permiso de obras, cambio de titularidad de suministros. En GESTIÓN: poder de representación del propietario, alcance de la gestión, garantías de pago. En ambos casos: descripción de la conversión de salón si aplica. RD 1312/2024: registro obligatorio desde jul-2025 si comercializas en portales digitales.</t>
        </is>
      </c>
    </row>
    <row r="75" ht="8" customHeight="1">
      <c r="A75" s="3" t="n"/>
      <c r="B75" s="3" t="n"/>
      <c r="C75" s="3" t="n"/>
      <c r="D75" s="3" t="n"/>
      <c r="E75" s="3" t="n"/>
      <c r="F75" s="3" t="n"/>
      <c r="G75" s="3" t="n"/>
    </row>
    <row r="76" ht="14" customHeight="1">
      <c r="A76" s="42" t="inlineStr">
        <is>
          <t>RENTTIA  ·  renttia.es  ·  Documento orientativo. No sustituye asesoramiento legal ni fiscal.</t>
        </is>
      </c>
    </row>
  </sheetData>
  <mergeCells count="24">
    <mergeCell ref="A17:G17"/>
    <mergeCell ref="B73:G73"/>
    <mergeCell ref="A68:G68"/>
    <mergeCell ref="A26:C26"/>
    <mergeCell ref="B69:G69"/>
    <mergeCell ref="A28:G28"/>
    <mergeCell ref="A42:C42"/>
    <mergeCell ref="A44:G44"/>
    <mergeCell ref="A58:D58"/>
    <mergeCell ref="B74:G74"/>
    <mergeCell ref="A60:G60"/>
    <mergeCell ref="A52:C52"/>
    <mergeCell ref="A1:G1"/>
    <mergeCell ref="A16:G16"/>
    <mergeCell ref="A54:G54"/>
    <mergeCell ref="A41:G41"/>
    <mergeCell ref="A51:C51"/>
    <mergeCell ref="B72:G72"/>
    <mergeCell ref="A50:G50"/>
    <mergeCell ref="B71:G71"/>
    <mergeCell ref="A2:G2"/>
    <mergeCell ref="B70:G70"/>
    <mergeCell ref="A76:G76"/>
    <mergeCell ref="A5:G5"/>
  </mergeCells>
  <dataValidations count="10">
    <dataValidation sqref="B7" showDropDown="0" showInputMessage="0" showErrorMessage="0" allowBlank="0" type="list">
      <formula1>"Explotación (subarriendo propio),Gestión — Alquiler garantizado,Gestión — A porcentaje"</formula1>
    </dataValidation>
    <dataValidation sqref="B13" showDropDown="0" showInputMessage="0" showErrorMessage="0" allowBlank="0" type="list">
      <formula1>"Sí,No"</formula1>
    </dataValidation>
    <dataValidation sqref="B31" showDropDown="0" showInputMessage="0" showErrorMessage="0" allowBlank="0" type="list">
      <formula1>"Sí,No"</formula1>
    </dataValidation>
    <dataValidation sqref="B32" showDropDown="0" showInputMessage="0" showErrorMessage="0" allowBlank="0" type="list">
      <formula1>"Sí,No"</formula1>
    </dataValidation>
    <dataValidation sqref="B33" showDropDown="0" showInputMessage="0" showErrorMessage="0" allowBlank="0" type="list">
      <formula1>"Sí,No"</formula1>
    </dataValidation>
    <dataValidation sqref="B34" showDropDown="0" showInputMessage="0" showErrorMessage="0" allowBlank="0" type="list">
      <formula1>"Sí,No"</formula1>
    </dataValidation>
    <dataValidation sqref="B35" showDropDown="0" showInputMessage="0" showErrorMessage="0" allowBlank="0" type="list">
      <formula1>"Sí,No"</formula1>
    </dataValidation>
    <dataValidation sqref="B36" showDropDown="0" showInputMessage="0" showErrorMessage="0" allowBlank="0" type="list">
      <formula1>"Sí,No"</formula1>
    </dataValidation>
    <dataValidation sqref="B37" showDropDown="0" showInputMessage="0" showErrorMessage="0" allowBlank="0" type="list">
      <formula1>"Sí,No"</formula1>
    </dataValidation>
    <dataValidation sqref="B38" showDropDown="0" showInputMessage="0" showErrorMessage="0" allowBlank="0"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4" customWidth="1" min="1" max="1"/>
    <col width="32" customWidth="1" min="2" max="2"/>
    <col width="22" customWidth="1" min="3" max="3"/>
    <col width="6" customWidth="1" min="4" max="4"/>
    <col width="32" customWidth="1" min="5" max="5"/>
    <col width="22" customWidth="1" min="6" max="6"/>
  </cols>
  <sheetData>
    <row r="1" ht="40" customHeight="1">
      <c r="A1" s="43" t="inlineStr">
        <is>
          <t>RENTTIA  ·  Dashboard R2R</t>
        </is>
      </c>
    </row>
    <row r="2" ht="20" customHeight="1">
      <c r="A2" s="44">
        <f>'Calculadora R2R'!B7&amp;"   ·   "&amp;'Calculadora R2R'!B6&amp;"   —   "&amp;TEXT(TODAY(),"DD/MM/YYYY")</f>
        <v/>
      </c>
    </row>
    <row r="4" ht="22" customHeight="1">
      <c r="A4" s="45" t="inlineStr">
        <is>
          <t xml:space="preserve">  💵  INGRESOS Y COSTES MENSUALES</t>
        </is>
      </c>
    </row>
    <row r="5" ht="18" customHeight="1">
      <c r="B5" s="8" t="inlineStr">
        <is>
          <t xml:space="preserve">  Ingresos brutos / mes</t>
        </is>
      </c>
      <c r="C5" s="32" t="n"/>
      <c r="E5" s="8" t="inlineStr">
        <is>
          <t xml:space="preserve">  Alquiler neto al propietario</t>
        </is>
      </c>
      <c r="F5" s="32" t="n"/>
    </row>
    <row r="6" ht="32" customHeight="1">
      <c r="B6" s="46">
        <f>'Calculadora R2R'!D26</f>
        <v/>
      </c>
      <c r="C6" s="32" t="n"/>
      <c r="E6" s="46">
        <f>'Calculadora R2R'!B9</f>
        <v/>
      </c>
      <c r="F6" s="32" t="n"/>
    </row>
    <row r="8" ht="22" customHeight="1">
      <c r="A8" s="45" t="inlineStr">
        <is>
          <t xml:space="preserve">  🧾  FISCALIDAD MENSUAL</t>
        </is>
      </c>
    </row>
    <row r="9" ht="18" customHeight="1">
      <c r="B9" s="8" t="inlineStr">
        <is>
          <t xml:space="preserve">  IVA 21% (solo Explotación)</t>
        </is>
      </c>
      <c r="C9" s="32" t="n"/>
      <c r="E9" s="8" t="inlineStr">
        <is>
          <t xml:space="preserve">  Gastos suministros totales</t>
        </is>
      </c>
      <c r="F9" s="32" t="n"/>
    </row>
    <row r="10" ht="32" customHeight="1">
      <c r="B10" s="46">
        <f>'Calculadora R2R'!B47</f>
        <v/>
      </c>
      <c r="C10" s="32" t="n"/>
      <c r="E10" s="46">
        <f>'Calculadora R2R'!B46</f>
        <v/>
      </c>
      <c r="F10" s="32" t="n"/>
    </row>
    <row r="12" ht="22" customHeight="1">
      <c r="A12" s="45" t="inlineStr">
        <is>
          <t xml:space="preserve">  🏆  MARGEN Y GANANCIA</t>
        </is>
      </c>
    </row>
    <row r="13" ht="18" customHeight="1">
      <c r="B13" s="8" t="inlineStr">
        <is>
          <t xml:space="preserve">  🏆 MARGEN NETO MENSUAL REAL</t>
        </is>
      </c>
      <c r="C13" s="32" t="n"/>
      <c r="E13" s="8" t="inlineStr">
        <is>
          <t xml:space="preserve">  👤 Ganancia neta / habitación</t>
        </is>
      </c>
      <c r="F13" s="32" t="n"/>
    </row>
    <row r="14" ht="32" customHeight="1">
      <c r="B14" s="46">
        <f>'Calculadora R2R'!D51</f>
        <v/>
      </c>
      <c r="C14" s="32" t="n"/>
      <c r="E14" s="46">
        <f>'Calculadora R2R'!D52</f>
        <v/>
      </c>
      <c r="F14" s="32" t="n"/>
    </row>
    <row r="16" ht="22" customHeight="1">
      <c r="A16" s="45" t="inlineStr">
        <is>
          <t xml:space="preserve">  🚪  HABITACIONES Y TIPO DE CONTRATO</t>
        </is>
      </c>
    </row>
    <row r="17" ht="18" customHeight="1">
      <c r="B17" s="8" t="inlineStr">
        <is>
          <t xml:space="preserve">  Total habitaciones activas</t>
        </is>
      </c>
      <c r="C17" s="32" t="n"/>
      <c r="E17" s="8" t="inlineStr">
        <is>
          <t xml:space="preserve">  Tipo de contrato</t>
        </is>
      </c>
      <c r="F17" s="32" t="n"/>
    </row>
    <row r="18" ht="32" customHeight="1">
      <c r="B18" s="47">
        <f>'Calculadora R2R'!B12</f>
        <v/>
      </c>
      <c r="C18" s="32" t="n"/>
      <c r="E18" s="47">
        <f>'Calculadora R2R'!B7</f>
        <v/>
      </c>
      <c r="F18" s="32" t="n"/>
    </row>
    <row r="20" ht="22" customHeight="1">
      <c r="A20" s="45" t="inlineStr">
        <is>
          <t xml:space="preserve">  💰  INVERSIÓN INICIAL</t>
        </is>
      </c>
    </row>
    <row r="21" ht="18" customHeight="1">
      <c r="B21" s="8" t="inlineStr">
        <is>
          <t xml:space="preserve">  Inversión en obra y mobiliario</t>
        </is>
      </c>
      <c r="C21" s="32" t="n"/>
      <c r="E21" s="8" t="inlineStr">
        <is>
          <t xml:space="preserve">  Fianza al propietario (2m)</t>
        </is>
      </c>
      <c r="F21" s="32" t="n"/>
    </row>
    <row r="22" ht="32" customHeight="1">
      <c r="B22" s="46">
        <f>'Calculadora R2R'!D42</f>
        <v/>
      </c>
      <c r="C22" s="32" t="n"/>
      <c r="E22" s="46">
        <f>'Calculadora R2R'!B61</f>
        <v/>
      </c>
      <c r="F22" s="32" t="n"/>
    </row>
    <row r="24" ht="18" customHeight="1">
      <c r="B24" s="8" t="inlineStr">
        <is>
          <t xml:space="preserve">  💸 DESEMBOLSO INICIAL TOTAL</t>
        </is>
      </c>
      <c r="C24" s="32" t="n"/>
      <c r="E24" s="8" t="inlineStr">
        <is>
          <t xml:space="preserve">  📅 Payback (meses)</t>
        </is>
      </c>
      <c r="F24" s="32" t="n"/>
    </row>
    <row r="25" ht="32" customHeight="1">
      <c r="B25" s="46">
        <f>'Calculadora R2R'!B62</f>
        <v/>
      </c>
      <c r="C25" s="32" t="n"/>
      <c r="E25" s="48">
        <f>'Calculadora R2R'!B63</f>
        <v/>
      </c>
      <c r="F25" s="32" t="n"/>
    </row>
    <row r="27" ht="22" customHeight="1">
      <c r="A27" s="45" t="inlineStr">
        <is>
          <t xml:space="preserve">  📊  RENTABILIDAD ANUAL</t>
        </is>
      </c>
    </row>
    <row r="28" ht="18" customHeight="1">
      <c r="B28" s="8" t="inlineStr">
        <is>
          <t xml:space="preserve">  Ingresos brutos anuales</t>
        </is>
      </c>
      <c r="C28" s="32" t="n"/>
      <c r="E28" s="8" t="inlineStr">
        <is>
          <t xml:space="preserve">  Beneficio neto anual</t>
        </is>
      </c>
      <c r="F28" s="32" t="n"/>
    </row>
    <row r="29" ht="32" customHeight="1">
      <c r="B29" s="46">
        <f>'Calculadora R2R'!B65</f>
        <v/>
      </c>
      <c r="C29" s="32" t="n"/>
      <c r="E29" s="46">
        <f>'Calculadora R2R'!B66</f>
        <v/>
      </c>
      <c r="F29" s="32" t="n"/>
    </row>
    <row r="31" ht="18" customHeight="1">
      <c r="B31" s="8" t="inlineStr">
        <is>
          <t xml:space="preserve">  ROI anual (% sobre inversión)</t>
        </is>
      </c>
      <c r="C31" s="32" t="n"/>
      <c r="E31" s="8" t="inlineStr">
        <is>
          <t xml:space="preserve">  Precio medio hab. activas</t>
        </is>
      </c>
      <c r="F31" s="32" t="n"/>
    </row>
    <row r="32" ht="32" customHeight="1">
      <c r="B32" s="49">
        <f>'Calculadora R2R'!B64</f>
        <v/>
      </c>
      <c r="C32" s="32" t="n"/>
      <c r="E32" s="50">
        <f>IFERROR('Calculadora R2R'!D26/'Calculadora R2R'!B12,0)</f>
        <v/>
      </c>
      <c r="F32" s="32" t="n"/>
    </row>
    <row r="35" ht="14" customHeight="1">
      <c r="A35" s="42" t="inlineStr">
        <is>
          <t>RENTTIA  ·  renttia.es  ·  Documento orientativo.</t>
        </is>
      </c>
    </row>
  </sheetData>
  <mergeCells count="9">
    <mergeCell ref="A2:F2"/>
    <mergeCell ref="A16:F16"/>
    <mergeCell ref="A1:F1"/>
    <mergeCell ref="A27:F27"/>
    <mergeCell ref="A8:F8"/>
    <mergeCell ref="A12:F12"/>
    <mergeCell ref="A4:F4"/>
    <mergeCell ref="A35:F35"/>
    <mergeCell ref="A20:F20"/>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2026-08-12T17:06:57Z</dcterms:created>
  <dcterms:modified xsi:type="dcterms:W3CDTF">2026-08-12T17:06:57Z</dcterms:modified>
</cp:coreProperties>
</file>