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Calculadora R2R" state="visible" r:id="rId5"/>
  </sheets>
  <calcPr calcId="171027"/>
</workbook>
</file>

<file path=xl/sharedStrings.xml><?xml version="1.0" encoding="utf-8"?>
<sst xmlns="http://schemas.openxmlformats.org/spreadsheetml/2006/main" count="97" uniqueCount="92">
  <si>
    <t>RENTTIA  ·  Dashboard Rent to Rent</t>
  </si>
  <si>
    <t xml:space="preserve">  📊  RESULTADOS MENSUALES</t>
  </si>
  <si>
    <t xml:space="preserve">  💵  Ingresos brutos estimados / mes</t>
  </si>
  <si>
    <t xml:space="preserve">  💶  Alquiler neto al propietario / mes</t>
  </si>
  <si>
    <t xml:space="preserve">  🧾  IVA 21% no deducible / mes</t>
  </si>
  <si>
    <t xml:space="preserve">  💡  Gastos suministros totales / mes</t>
  </si>
  <si>
    <t xml:space="preserve">  🏆  MARGEN Y GANANCIA</t>
  </si>
  <si>
    <t xml:space="preserve">  🏆  MARGEN NETO mensual real</t>
  </si>
  <si>
    <t xml:space="preserve">  👤  Ganancia neta por habitación / mes</t>
  </si>
  <si>
    <t xml:space="preserve">  🚪  HABITACIONES Y PRECIOS</t>
  </si>
  <si>
    <t xml:space="preserve">  🏠  Total habitaciones (originales + conversión)</t>
  </si>
  <si>
    <t xml:space="preserve">  📐  Precio medio por habitación</t>
  </si>
  <si>
    <t xml:space="preserve">  💰  INVERSIÓN INICIAL</t>
  </si>
  <si>
    <t xml:space="preserve">  🏗️  Inversión total en obra y mobiliario</t>
  </si>
  <si>
    <t xml:space="preserve">  🏦  Fianza al propietario (2 meses)</t>
  </si>
  <si>
    <t xml:space="preserve">  💸  DESEMBOLSO INICIAL TOTAL  (inversión + fianza)</t>
  </si>
  <si>
    <t xml:space="preserve">  📈  RETORNO</t>
  </si>
  <si>
    <t xml:space="preserve">  🚀  Payback — meses para recuperar inversión</t>
  </si>
  <si>
    <t xml:space="preserve">  📊  ROI anual neto sobre inversión</t>
  </si>
  <si>
    <t xml:space="preserve">  🏆  GANANCIA NETA ANUAL REAL</t>
  </si>
  <si>
    <t xml:space="preserve">  🎯  VEREDICTO — Regla de la Mentora</t>
  </si>
  <si>
    <t xml:space="preserve">   1️⃣  Filtro 1 — Beneficio / hab ≥ 100€</t>
  </si>
  <si>
    <t xml:space="preserve">   2️⃣  Filtro 2 — Caja resiste vacancia</t>
  </si>
  <si>
    <t xml:space="preserve">   3️⃣  Filtro 3 — Payback ≤ 15 meses</t>
  </si>
  <si>
    <t>RENTTIA · renttia.es · Este dashboard se actualiza automáticamente al cambiar los datos en la hoja "Calculadora R2R"</t>
  </si>
  <si>
    <t>RENTTIA  ·  Calculadora Rent to Rent</t>
  </si>
  <si>
    <t>Regla de la Mentora  ·  IVA 21% integrado  ·  Conversión de salón en habitación</t>
  </si>
  <si>
    <t xml:space="preserve">  📋  DATOS DE ENTRADA</t>
  </si>
  <si>
    <t xml:space="preserve">  ✅  FILTROS — Regla de la Mentora</t>
  </si>
  <si>
    <t>€/hab</t>
  </si>
  <si>
    <t>Subtotal</t>
  </si>
  <si>
    <t>Evaluación automática</t>
  </si>
  <si>
    <t>Métrica</t>
  </si>
  <si>
    <t xml:space="preserve">   🏙️  Ciudad / Zona</t>
  </si>
  <si>
    <t>Zaragoza Centro</t>
  </si>
  <si>
    <t xml:space="preserve">   💶  Alquiler mensual neto al propietario (€)</t>
  </si>
  <si>
    <t xml:space="preserve">   🚪  Habitaciones ORIGINALES del piso</t>
  </si>
  <si>
    <t xml:space="preserve">   🔄  Habitaciones EXTRA (conversión salón → 0, 1 o 2 hab.)</t>
  </si>
  <si>
    <t>← cambia: 0, 1 o 2</t>
  </si>
  <si>
    <t xml:space="preserve">   🏠  TOTAL HABITACIONES  (originales + conversión) — AUTOMÁTICO</t>
  </si>
  <si>
    <t>= B9 + B10   ✓ automático</t>
  </si>
  <si>
    <t>VEREDICTO FINAL</t>
  </si>
  <si>
    <t xml:space="preserve">   🧱  ¿Las hab. de conversión requieren tabiquería / pladur?</t>
  </si>
  <si>
    <t>No</t>
  </si>
  <si>
    <t>↑ Solo aplica si B10 &gt; 0</t>
  </si>
  <si>
    <t xml:space="preserve">   📉  Precio mínimo hab. en la zona (€/mes)</t>
  </si>
  <si>
    <t xml:space="preserve">   📈  Precio máximo hab. en la zona (€/mes)</t>
  </si>
  <si>
    <t xml:space="preserve">   💡  Gastos suministros por habitación (€/mes)</t>
  </si>
  <si>
    <t xml:space="preserve">  🏗️  COMPONENTES DE INVERSIÓN — Selecciona lo que necesita el piso</t>
  </si>
  <si>
    <t xml:space="preserve">   🎨  ¿Necesita pintura / saneamiento?</t>
  </si>
  <si>
    <t xml:space="preserve">   🪑  ¿Necesita mobiliario completo?</t>
  </si>
  <si>
    <t>Sí</t>
  </si>
  <si>
    <t xml:space="preserve">   🍽️  ¿Necesita menaje cocina y zonas comunes?</t>
  </si>
  <si>
    <t xml:space="preserve">   🔒  ¿Necesita cerrojos individuales?</t>
  </si>
  <si>
    <t xml:space="preserve">   🔦  ¿Necesita iluminación LED?</t>
  </si>
  <si>
    <t xml:space="preserve">   🔨  ¿Necesita reforma estructural?</t>
  </si>
  <si>
    <t xml:space="preserve">   🧱  ¿Tabiquería/pladur para hab. de conversión?  (depende de B12)</t>
  </si>
  <si>
    <t>← ver B12</t>
  </si>
  <si>
    <t xml:space="preserve">   📸  Fotografía profesional + home staging  (siempre incluida)</t>
  </si>
  <si>
    <t xml:space="preserve">   💰  INVERSIÓN TOTAL ESTIMADA  (suma de todos los componentes marcados)</t>
  </si>
  <si>
    <t>← Cambia Sí/No en col. B</t>
  </si>
  <si>
    <t xml:space="preserve">  📊  ANÁLISIS FINANCIERO MENSUAL</t>
  </si>
  <si>
    <t xml:space="preserve">   📐  Precio medio por hab. (€/mes)</t>
  </si>
  <si>
    <t xml:space="preserve">   💵  Ingresos brutos estimados totales (€/mes)</t>
  </si>
  <si>
    <t xml:space="preserve">   💡  Gastos suministros totales (€/mes)</t>
  </si>
  <si>
    <t xml:space="preserve">   🧾  IVA 21% no deducible — gasto real mensual</t>
  </si>
  <si>
    <t xml:space="preserve">   📋  Retención IRPF Mod.115 a ingresar (19%)</t>
  </si>
  <si>
    <t xml:space="preserve">   💸  Coste real mensual del alquiler con IVA</t>
  </si>
  <si>
    <t xml:space="preserve">   🏆  MARGEN NETO MENSUAL REAL  (tras IVA 21% + suministros)</t>
  </si>
  <si>
    <t xml:space="preserve">   👤  Beneficio neto real por habitación (€/mes)</t>
  </si>
  <si>
    <t xml:space="preserve">  📈  INVERSIÓN Y RETORNO</t>
  </si>
  <si>
    <t xml:space="preserve">   🏦  Fianza al propietario (2 meses)</t>
  </si>
  <si>
    <t xml:space="preserve">   📅  Payback — Meses para recuperar inversión</t>
  </si>
  <si>
    <t xml:space="preserve">   📊  ROI anual sobre inversión inicial (%)</t>
  </si>
  <si>
    <t xml:space="preserve">   💹  Ingresos brutos anuales estimados (€)</t>
  </si>
  <si>
    <t xml:space="preserve">   🏦  Beneficio neto anual real (€)</t>
  </si>
  <si>
    <t xml:space="preserve">  🧾  RECUERDA — Impacto del IVA 21% en tu margen real</t>
  </si>
  <si>
    <t>⚠️  El propietario te factura CON IVA 21% porque eres empresa (arrendamiento uso distinto de vivienda). Tú NO puedes repercutirlo a tus inquilinos (subarriendo residencial exento). Ese 21% es un GASTO DIRECTO que ya está descontado en el Margen Neto (B37). Ejemplo: alquiler 900€ → pagas realmente 900 + 189€ = 1.089€/mes al propietario.</t>
  </si>
  <si>
    <t xml:space="preserve">  ℹ️  NOTAS CLAVE — Marco Jurídico-Fiscal España</t>
  </si>
  <si>
    <t xml:space="preserve">   📌  Regla de la Mentora</t>
  </si>
  <si>
    <t>Filtro 1 ≥100€/hab · Filtro 2: caja &gt; precio máx. hab · Filtro 3: payback ≤15 meses. Solo operar si los 3 están en verde.</t>
  </si>
  <si>
    <t xml:space="preserve">   📌  IVA 21%</t>
  </si>
  <si>
    <t>El propietario factura con IVA 21%. Ese IVA no es deducible para ti. Destruye margen si no se calcula previamente.</t>
  </si>
  <si>
    <t xml:space="preserve">   📌  Modelo 115</t>
  </si>
  <si>
    <t>Obligado a retener 19% de la renta bruta al propietario e ingresarlo en AEAT cada trimestre.</t>
  </si>
  <si>
    <t xml:space="preserve">   📌  Conversión de salón</t>
  </si>
  <si>
    <t>Si el salón se convierte en hab. adicional, requiere autorización del propietario en el contrato. Si hay pladur → obra menor → posible licencia municipal.</t>
  </si>
  <si>
    <t xml:space="preserve">   📌  Contrato principal</t>
  </si>
  <si>
    <t>Debe incluir autorización expresa de subarrendamiento, permiso de obras y cambio de titularidad de suministros.</t>
  </si>
  <si>
    <t xml:space="preserve">   📌  RD 1312/2024</t>
  </si>
  <si>
    <t>Desde jul-2025: registro obligatorio ante el Registro de la Propiedad si comercializas por portales digitales.</t>
  </si>
  <si>
    <t>RENTTIA  ·  renttia.es  ·  Documento orientativo. No sustituye asesoramiento legal ni fiscal.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</si>
</sst>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 &quot;€/mes&quot;"/>
    <numFmt numFmtId="165" formatCode="#,##0 &quot;€/hab&quot;"/>
    <numFmt numFmtId="166" formatCode="0 &quot;hab.&quot;"/>
    <numFmt numFmtId="167" formatCode="#,##0 &quot;€&quot;"/>
    <numFmt numFmtId="168" formatCode="0.0 &quot;meses&quot;"/>
    <numFmt numFmtId="169" formatCode="0.00 &quot;%&quot;"/>
    <numFmt numFmtId="170" formatCode="#,##0 &quot;€/año&quot;"/>
  </numFmts>
  <fonts count="45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B8CCF0"/>
      <sz val="10"/>
      <name val="Calibri"/>
    </font>
    <font>
      <b/>
      <color rgb="FFFFFFFF"/>
      <sz val="11"/>
      <name val="Calibri"/>
    </font>
    <font>
      <color rgb="FF6B7280"/>
      <sz val="9"/>
      <name val="Calibri"/>
    </font>
    <font>
      <b/>
      <color rgb="FF166534"/>
      <sz val="22"/>
      <name val="Calibri"/>
    </font>
    <font>
      <b/>
      <color rgb="FF92400E"/>
      <sz val="22"/>
      <name val="Calibri"/>
    </font>
    <font>
      <b/>
      <color rgb="FF991B1B"/>
      <sz val="22"/>
      <name val="Calibri"/>
    </font>
    <font>
      <b/>
      <color rgb="FFFFFFFF"/>
      <sz val="22"/>
      <name val="Calibri"/>
    </font>
    <font>
      <b/>
      <color rgb="007CAD"/>
      <sz val="22"/>
      <name val="Calibri"/>
    </font>
    <font>
      <b/>
      <color rgb="FF123462"/>
      <sz val="22"/>
      <name val="Calibri"/>
    </font>
    <font>
      <color rgb="FF92400E"/>
      <sz val="10"/>
      <name val="Calibri"/>
    </font>
    <font>
      <b/>
      <color rgb="FF123462"/>
      <sz val="28"/>
      <name val="Calibri"/>
    </font>
    <font>
      <color rgb="FF166534"/>
      <sz val="10"/>
      <name val="Calibri"/>
    </font>
    <font>
      <b/>
      <color rgb="FF166534"/>
      <sz val="28"/>
      <name val="Calibri"/>
    </font>
    <font>
      <b/>
      <color rgb="FFFFFFFF"/>
      <sz val="16"/>
      <name val="Calibri"/>
    </font>
    <font>
      <color rgb="FF374151"/>
      <sz val="10"/>
      <name val="Calibri"/>
    </font>
    <font>
      <b/>
      <color rgb="FF374151"/>
      <sz val="11"/>
      <name val="Calibri"/>
    </font>
    <font>
      <i/>
      <color rgb="8899BB"/>
      <sz val="8"/>
      <name val="Calibri"/>
    </font>
    <font>
      <b/>
      <color rgb="FFFFFFFF"/>
      <sz val="18"/>
      <name val="Calibri"/>
    </font>
    <font>
      <i/>
      <color rgb="FFB8CCF0"/>
      <sz val="9"/>
      <name val="Calibri"/>
    </font>
    <font>
      <b/>
      <color rgb="FFFFFFFF"/>
      <sz val="10"/>
      <name val="Calibri"/>
    </font>
    <font>
      <i/>
      <color rgb="FF9CA3AF"/>
      <sz val="8"/>
      <name val="Calibri"/>
    </font>
    <font>
      <color rgb="FF374151"/>
      <sz val="11"/>
      <name val="Calibri"/>
    </font>
    <font>
      <b/>
      <color rgb="FF374151"/>
      <sz val="10"/>
      <name val="Calibri"/>
    </font>
    <font>
      <b/>
      <color rgb="FF123462"/>
      <sz val="11"/>
      <name val="Calibri"/>
    </font>
    <font>
      <b/>
      <color rgb="FF991B1B"/>
      <sz val="10"/>
      <name val="Calibri"/>
    </font>
    <font>
      <b/>
      <color rgb="FF991B1B"/>
      <sz val="13"/>
      <name val="Calibri"/>
    </font>
    <font>
      <i/>
      <color rgb="FFb91c1c"/>
      <sz val="8"/>
      <name val="Calibri"/>
    </font>
    <font>
      <b/>
      <color rgb="007CAD"/>
      <sz val="11"/>
      <name val="Calibri"/>
    </font>
    <font>
      <b/>
      <color rgb="007CAD"/>
      <sz val="16"/>
      <name val="Calibri"/>
    </font>
    <font>
      <i/>
      <color rgb="007CAD"/>
      <sz val="8"/>
      <name val="Calibri"/>
    </font>
    <font>
      <b/>
      <i/>
      <color rgb="93c5fd"/>
      <sz val="8"/>
      <name val="Calibri"/>
    </font>
    <font>
      <b/>
      <color rgb="FF92400E"/>
      <sz val="11"/>
      <name val="Calibri"/>
    </font>
    <font>
      <color rgb="FF9CA3AF"/>
      <sz val="10"/>
      <name val="Calibri"/>
    </font>
    <font>
      <b/>
      <color rgb="FF123462"/>
      <sz val="10"/>
      <name val="Calibri"/>
    </font>
    <font>
      <b/>
      <color rgb="FF166534"/>
      <sz val="11"/>
      <name val="Calibri"/>
    </font>
    <font>
      <i/>
      <color rgb="FFb91c1c"/>
      <sz val="9"/>
      <name val="Calibri"/>
    </font>
    <font>
      <color rgb="FF9CA3AF"/>
      <sz val="9"/>
      <name val="Calibri"/>
    </font>
    <font>
      <i/>
      <color rgb="FF9CA3AF"/>
      <sz val="10"/>
      <name val="Calibri"/>
    </font>
    <font>
      <b/>
      <color rgb="FFFFFFFF"/>
      <sz val="13"/>
      <name val="Calibri"/>
    </font>
    <font>
      <i/>
      <color rgb="93c5fd"/>
      <sz val="8"/>
      <name val="Calibri"/>
    </font>
    <font>
      <b/>
      <color rgb="FFFFFFFF"/>
      <sz val="14"/>
      <name val="Calibri"/>
    </font>
    <font>
      <color rgb="FF5B21B6"/>
      <sz val="9"/>
      <name val="Calibri"/>
    </font>
    <font>
      <color rgb="FF374151"/>
      <sz val="9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23462"/>
      </patternFill>
    </fill>
    <fill>
      <patternFill patternType="solid">
        <fgColor rgb="FF1a4a8a"/>
      </patternFill>
    </fill>
    <fill>
      <patternFill patternType="solid">
        <fgColor rgb="FF0d2340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F2F2"/>
      </patternFill>
    </fill>
    <fill>
      <patternFill patternType="solid">
        <fgColor rgb="FFffe4e6"/>
      </patternFill>
    </fill>
    <fill>
      <patternFill patternType="solid">
        <fgColor rgb="FF16a34a"/>
      </patternFill>
    </fill>
    <fill>
      <patternFill patternType="solid">
        <fgColor rgb="FFe0f2fe"/>
      </patternFill>
    </fill>
    <fill>
      <patternFill patternType="solid">
        <fgColor rgb="FFF0F5FF"/>
      </patternFill>
    </fill>
    <fill>
      <patternFill patternType="solid">
        <fgColor rgb="FFdbeafe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1f2"/>
      </patternFill>
    </fill>
    <fill>
      <patternFill patternType="solid">
        <fgColor rgb="FFFfecec"/>
      </patternFill>
    </fill>
    <fill>
      <patternFill patternType="solid">
        <fgColor rgb="FF1e3a5f"/>
      </patternFill>
    </fill>
    <fill>
      <patternFill patternType="solid">
        <fgColor rgb="FFFEF9C3"/>
      </patternFill>
    </fill>
    <fill>
      <patternFill patternType="solid">
        <fgColor rgb="FFFAFAF7"/>
      </patternFill>
    </fill>
    <fill>
      <patternFill patternType="solid">
        <fgColor rgb="FF5B21B6"/>
      </patternFill>
    </fill>
    <fill>
      <patternFill patternType="solid">
        <fgColor rgb="FFF5F3FF"/>
      </patternFill>
    </fill>
    <fill>
      <patternFill patternType="solid">
        <fgColor rgb="FF374151"/>
      </patternFill>
    </fill>
  </fills>
  <borders count="20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/>
      <diagonal/>
    </border>
    <border>
      <left style="thin">
        <color rgb="FFFBBF24"/>
      </left>
      <right style="thin">
        <color rgb="FFFBBF24"/>
      </right>
      <top/>
      <bottom style="thin">
        <color rgb="FFFBBF24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/>
      <diagonal/>
    </border>
    <border>
      <left style="thin">
        <color rgb="FF86efac"/>
      </left>
      <right style="thin">
        <color rgb="FF86efac"/>
      </right>
      <top/>
      <bottom style="thin">
        <color rgb="FF86efac"/>
      </bottom>
      <diagonal/>
    </border>
    <border>
      <left style="thin">
        <color rgb="FF60A5FA"/>
      </left>
      <right style="thin">
        <color rgb="FF60A5FA"/>
      </right>
      <top style="thin">
        <color rgb="FF60A5FA"/>
      </top>
      <bottom style="thin">
        <color rgb="FF60A5FA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hair">
        <color rgb="FFE5E7EB"/>
      </bottom>
      <diagonal/>
    </border>
    <border>
      <left style="thin">
        <color rgb="FFB8CCF0"/>
      </left>
      <right style="thin">
        <color rgb="FFB8CCF0"/>
      </right>
      <top style="thin">
        <color rgb="FFB8CCF0"/>
      </top>
      <bottom style="thin">
        <color rgb="FFB8CCF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hair">
        <color rgb="FFfda4af"/>
      </bottom>
      <diagonal/>
    </border>
    <border>
      <left style="thin">
        <color rgb="FFfda4af"/>
      </left>
      <right style="thin">
        <color rgb="FFfda4af"/>
      </right>
      <top style="thin">
        <color rgb="FFfda4af"/>
      </top>
      <bottom style="thin">
        <color rgb="FFfda4af"/>
      </bottom>
      <diagonal/>
    </border>
    <border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bottom"/>
    </xf>
    <xf numFmtId="0" fontId="4" fillId="6" borderId="1" xfId="0" applyFont="1" applyFill="1" applyBorder="1" applyAlignment="1">
      <alignment horizontal="left" vertical="bottom"/>
    </xf>
    <xf numFmtId="164" fontId="5" fillId="7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0" fillId="7" borderId="3" xfId="0" applyFill="1" applyBorder="1"/>
    <xf numFmtId="0" fontId="0" fillId="8" borderId="3" xfId="0" applyFill="1" applyBorder="1"/>
    <xf numFmtId="0" fontId="4" fillId="9" borderId="1" xfId="0" applyFont="1" applyFill="1" applyBorder="1" applyAlignment="1">
      <alignment horizontal="left" vertical="bottom"/>
    </xf>
    <xf numFmtId="164" fontId="7" fillId="10" borderId="2" xfId="0" applyNumberFormat="1" applyFont="1" applyFill="1" applyBorder="1" applyAlignment="1">
      <alignment horizontal="center" vertical="center"/>
    </xf>
    <xf numFmtId="0" fontId="0" fillId="10" borderId="3" xfId="0" applyFill="1" applyBorder="1"/>
    <xf numFmtId="0" fontId="3" fillId="2" borderId="0" xfId="0" applyFont="1" applyFill="1" applyAlignment="1">
      <alignment horizontal="left" vertical="center"/>
    </xf>
    <xf numFmtId="164" fontId="8" fillId="11" borderId="2" xfId="0" applyNumberFormat="1" applyFont="1" applyFill="1" applyBorder="1" applyAlignment="1">
      <alignment horizontal="center" vertical="center"/>
    </xf>
    <xf numFmtId="165" fontId="8" fillId="11" borderId="2" xfId="0" applyNumberFormat="1" applyFont="1" applyFill="1" applyBorder="1" applyAlignment="1">
      <alignment horizontal="center" vertical="center"/>
    </xf>
    <xf numFmtId="0" fontId="0" fillId="11" borderId="3" xfId="0" applyFill="1" applyBorder="1"/>
    <xf numFmtId="0" fontId="4" fillId="12" borderId="1" xfId="0" applyFont="1" applyFill="1" applyBorder="1" applyAlignment="1">
      <alignment horizontal="left" vertical="bottom"/>
    </xf>
    <xf numFmtId="0" fontId="4" fillId="13" borderId="1" xfId="0" applyFont="1" applyFill="1" applyBorder="1" applyAlignment="1">
      <alignment horizontal="left" vertical="bottom"/>
    </xf>
    <xf numFmtId="166" fontId="9" fillId="12" borderId="2" xfId="0" applyNumberFormat="1" applyFont="1" applyFill="1" applyBorder="1" applyAlignment="1">
      <alignment horizontal="center" vertical="center"/>
    </xf>
    <xf numFmtId="164" fontId="10" fillId="14" borderId="2" xfId="0" applyNumberFormat="1" applyFont="1" applyFill="1" applyBorder="1" applyAlignment="1">
      <alignment horizontal="center" vertical="center"/>
    </xf>
    <xf numFmtId="0" fontId="0" fillId="12" borderId="3" xfId="0" applyFill="1" applyBorder="1"/>
    <xf numFmtId="0" fontId="0" fillId="14" borderId="3" xfId="0" applyFill="1" applyBorder="1"/>
    <xf numFmtId="167" fontId="6" fillId="8" borderId="2" xfId="0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bottom"/>
    </xf>
    <xf numFmtId="167" fontId="12" fillId="15" borderId="5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horizontal="center" vertical="center"/>
    </xf>
    <xf numFmtId="169" fontId="5" fillId="7" borderId="2" xfId="0" applyNumberFormat="1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left" vertical="bottom"/>
    </xf>
    <xf numFmtId="170" fontId="14" fillId="16" borderId="7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6" fillId="17" borderId="9" xfId="0" applyFont="1" applyFill="1" applyBorder="1" applyAlignment="1">
      <alignment horizontal="left" vertical="center"/>
    </xf>
    <xf numFmtId="0" fontId="17" fillId="17" borderId="1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0" fillId="13" borderId="0" xfId="0" applyFill="1"/>
    <xf numFmtId="0" fontId="21" fillId="2" borderId="0" xfId="0" applyFon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6" fillId="17" borderId="11" xfId="0" applyFont="1" applyFill="1" applyBorder="1" applyAlignment="1">
      <alignment horizontal="left" vertical="center"/>
    </xf>
    <xf numFmtId="49" fontId="23" fillId="13" borderId="12" xfId="0" applyNumberFormat="1" applyFont="1" applyFill="1" applyBorder="1" applyAlignment="1">
      <alignment horizontal="right" vertical="center"/>
    </xf>
    <xf numFmtId="0" fontId="16" fillId="18" borderId="11" xfId="0" applyFont="1" applyFill="1" applyBorder="1" applyAlignment="1">
      <alignment horizontal="left" vertical="center"/>
    </xf>
    <xf numFmtId="167" fontId="23" fillId="13" borderId="12" xfId="0" applyNumberFormat="1" applyFont="1" applyFill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167" fontId="25" fillId="17" borderId="13" xfId="0" applyNumberFormat="1" applyFont="1" applyFill="1" applyBorder="1" applyAlignment="1">
      <alignment horizontal="right" vertical="center"/>
    </xf>
    <xf numFmtId="166" fontId="23" fillId="13" borderId="12" xfId="0" applyNumberFormat="1" applyFont="1" applyFill="1" applyBorder="1" applyAlignment="1">
      <alignment horizontal="right" vertical="center"/>
    </xf>
    <xf numFmtId="0" fontId="26" fillId="19" borderId="14" xfId="0" applyFont="1" applyFill="1" applyBorder="1" applyAlignment="1">
      <alignment horizontal="left" vertical="center"/>
    </xf>
    <xf numFmtId="166" fontId="27" fillId="20" borderId="15" xfId="0" applyNumberFormat="1" applyFont="1" applyFill="1" applyBorder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168" fontId="25" fillId="17" borderId="13" xfId="0" applyNumberFormat="1" applyFont="1" applyFill="1" applyBorder="1" applyAlignment="1">
      <alignment horizontal="right" vertical="center"/>
    </xf>
    <xf numFmtId="0" fontId="29" fillId="12" borderId="0" xfId="0" applyFont="1" applyFill="1" applyAlignment="1">
      <alignment horizontal="left" vertical="center"/>
    </xf>
    <xf numFmtId="166" fontId="30" fillId="12" borderId="16" xfId="0" applyNumberFormat="1" applyFont="1" applyFill="1" applyBorder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2" fillId="21" borderId="0" xfId="0" applyFont="1" applyFill="1" applyAlignment="1">
      <alignment horizontal="center" vertical="center"/>
    </xf>
    <xf numFmtId="0" fontId="33" fillId="20" borderId="1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left" vertical="center"/>
    </xf>
    <xf numFmtId="0" fontId="33" fillId="22" borderId="17" xfId="0" applyFont="1" applyFill="1" applyBorder="1" applyAlignment="1">
      <alignment horizontal="center" vertical="center"/>
    </xf>
    <xf numFmtId="165" fontId="34" fillId="17" borderId="0" xfId="0" applyNumberFormat="1" applyFont="1" applyFill="1" applyAlignment="1">
      <alignment horizontal="center" vertical="center"/>
    </xf>
    <xf numFmtId="167" fontId="35" fillId="15" borderId="17" xfId="0" applyNumberFormat="1" applyFont="1" applyFill="1" applyBorder="1" applyAlignment="1">
      <alignment horizontal="right" vertical="center"/>
    </xf>
    <xf numFmtId="0" fontId="36" fillId="7" borderId="18" xfId="0" applyFont="1" applyFill="1" applyBorder="1" applyAlignment="1">
      <alignment horizontal="center" vertical="center"/>
    </xf>
    <xf numFmtId="0" fontId="37" fillId="19" borderId="0" xfId="0" applyFont="1" applyFill="1" applyAlignment="1">
      <alignment horizontal="center" vertical="center"/>
    </xf>
    <xf numFmtId="165" fontId="38" fillId="17" borderId="0" xfId="0" applyNumberFormat="1" applyFont="1" applyFill="1" applyAlignment="1">
      <alignment horizontal="center" vertical="center"/>
    </xf>
    <xf numFmtId="167" fontId="26" fillId="19" borderId="15" xfId="0" applyNumberFormat="1" applyFont="1" applyFill="1" applyBorder="1" applyAlignment="1">
      <alignment horizontal="right" vertical="center"/>
    </xf>
    <xf numFmtId="0" fontId="39" fillId="23" borderId="0" xfId="0" applyFont="1" applyFill="1" applyAlignment="1">
      <alignment horizontal="left" vertical="center"/>
    </xf>
    <xf numFmtId="167" fontId="40" fillId="3" borderId="8" xfId="0" applyNumberFormat="1" applyFont="1" applyFill="1" applyBorder="1" applyAlignment="1">
      <alignment horizontal="right" vertical="center"/>
    </xf>
    <xf numFmtId="0" fontId="41" fillId="3" borderId="0" xfId="0" applyFont="1" applyFill="1" applyAlignment="1">
      <alignment horizontal="center" vertical="center"/>
    </xf>
    <xf numFmtId="167" fontId="25" fillId="15" borderId="17" xfId="0" applyNumberFormat="1" applyFont="1" applyFill="1" applyBorder="1" applyAlignment="1">
      <alignment horizontal="right" vertical="center"/>
    </xf>
    <xf numFmtId="167" fontId="42" fillId="3" borderId="8" xfId="0" applyNumberFormat="1" applyFont="1" applyFill="1" applyBorder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168" fontId="25" fillId="15" borderId="17" xfId="0" applyNumberFormat="1" applyFont="1" applyFill="1" applyBorder="1" applyAlignment="1">
      <alignment horizontal="right" vertical="center"/>
    </xf>
    <xf numFmtId="169" fontId="25" fillId="15" borderId="17" xfId="0" applyNumberFormat="1" applyFont="1" applyFill="1" applyBorder="1" applyAlignment="1">
      <alignment horizontal="right" vertical="center"/>
    </xf>
    <xf numFmtId="0" fontId="21" fillId="24" borderId="0" xfId="0" applyFont="1" applyFill="1" applyAlignment="1">
      <alignment horizontal="left" vertical="center"/>
    </xf>
    <xf numFmtId="0" fontId="43" fillId="25" borderId="19" xfId="0" applyFont="1" applyFill="1" applyBorder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44" fillId="13" borderId="0" xfId="0" applyFont="1" applyFill="1" applyAlignment="1">
      <alignment horizontal="left" vertical="center" wrapText="1"/>
    </xf>
    <xf numFmtId="0" fontId="35" fillId="18" borderId="0" xfId="0" applyFont="1" applyFill="1" applyAlignment="1">
      <alignment horizontal="left" vertical="center"/>
    </xf>
    <xf numFmtId="0" fontId="44" fillId="18" borderId="0" xfId="0" applyFont="1" applyFill="1" applyAlignment="1">
      <alignment horizontal="left" vertical="center" wrapText="1"/>
    </xf>
  </cellXfs>
  <cellStyles count="1">
    <cellStyle name="Normal" xfId="0" builtinId="0"/>
  </cellStyles>
  <dxfs count="12">
    <dxf>
      <font>
        <b/>
        <color rgb="FFFFFFFF"/>
        <sz val="16"/>
        <name val="Calibri"/>
      </font>
      <fill>
        <patternFill patternType="solid">
          <fgColor rgb="FF16a34a"/>
        </patternFill>
      </fill>
    </dxf>
    <dxf>
      <font>
        <b/>
        <color rgb="FFFFFFFF"/>
        <sz val="16"/>
        <name val="Calibri"/>
      </font>
      <fill>
        <patternFill patternType="solid">
          <fgColor rgb="FFdc2626"/>
        </patternFill>
      </fill>
    </dxf>
    <dxf>
      <font>
        <b/>
        <color rgb="FF166534"/>
        <sz val="11"/>
        <name val="Calibri"/>
      </font>
      <fill>
        <patternFill patternType="solid">
          <fgColor rgb="FFdcfce7"/>
        </patternFill>
      </fill>
    </dxf>
    <dxf>
      <font>
        <b/>
        <color rgb="FF991B1B"/>
        <sz val="11"/>
        <name val="Calibri"/>
      </font>
      <fill>
        <patternFill patternType="solid">
          <fgColor rgb="FFffe4e6"/>
        </patternFill>
      </fill>
    </dxf>
    <dxf>
      <font>
        <b/>
        <color rgb="FF166534"/>
        <sz val="10"/>
        <name val="Calibri"/>
      </font>
      <fill>
        <patternFill patternType="solid">
          <fgColor rgb="FFdcfce7"/>
        </patternFill>
      </fill>
    </dxf>
    <dxf>
      <font>
        <b/>
        <color rgb="FF991B1B"/>
        <sz val="10"/>
        <name val="Calibri"/>
      </font>
      <fill>
        <patternFill patternType="solid">
          <fgColor rgb="FFffe4e6"/>
        </patternFill>
      </fill>
    </dxf>
    <dxf>
      <font>
        <b/>
        <color rgb="FF166534"/>
        <sz val="10"/>
        <name val="Calibri"/>
      </font>
      <fill>
        <patternFill patternType="solid">
          <fgColor rgb="FFdcfce7"/>
        </patternFill>
      </fill>
    </dxf>
    <dxf>
      <font>
        <b/>
        <color rgb="FF991B1B"/>
        <sz val="10"/>
        <name val="Calibri"/>
      </font>
      <fill>
        <patternFill patternType="solid">
          <fgColor rgb="FFffe4e6"/>
        </patternFill>
      </fill>
    </dxf>
    <dxf>
      <font>
        <b/>
        <color rgb="FF166534"/>
        <sz val="10"/>
        <name val="Calibri"/>
      </font>
      <fill>
        <patternFill patternType="solid">
          <fgColor rgb="FFdcfce7"/>
        </patternFill>
      </fill>
    </dxf>
    <dxf>
      <font>
        <b/>
        <color rgb="FF92400E"/>
        <sz val="10"/>
        <name val="Calibri"/>
      </font>
      <fill>
        <patternFill patternType="solid">
          <fgColor rgb="FFfef3c7"/>
        </patternFill>
      </fill>
    </dxf>
    <dxf>
      <font>
        <b/>
        <color rgb="FFFFFFFF"/>
        <sz val="11"/>
        <name val="Calibri"/>
      </font>
      <fill>
        <patternFill patternType="solid">
          <fgColor rgb="FF16a34a"/>
        </patternFill>
      </fill>
    </dxf>
    <dxf>
      <font>
        <b/>
        <color rgb="FFFFFFFF"/>
        <sz val="11"/>
        <name val="Calibri"/>
      </font>
      <fill>
        <patternFill patternType="solid">
          <f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G46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34" customWidth="1"/>
    <col min="3" max="3" width="20" customWidth="1"/>
    <col min="4" max="4" width="4" customWidth="1"/>
    <col min="5" max="5" width="34" customWidth="1"/>
    <col min="6" max="6" width="20" customWidth="1"/>
    <col min="7" max="7" width="2" customWidth="1"/>
  </cols>
  <sheetData>
    <row r="1" ht="5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>
        <f>"📍 "&amp; 'Calculadora R2R'!B7 &amp;"   —   "&amp;TEXT(TODAY(),"DD/MM/YYYY")</f>
      </c>
      <c r="B2" s="2"/>
      <c r="C2" s="2"/>
      <c r="D2" s="2"/>
      <c r="E2" s="2"/>
      <c r="F2" s="2"/>
      <c r="G2" s="2"/>
    </row>
    <row r="3" ht="14" customHeight="1" x14ac:dyDescent="0.25"/>
    <row r="4" ht="22" customHeight="1" spans="1:7" x14ac:dyDescent="0.25">
      <c r="A4" s="3" t="s">
        <v>1</v>
      </c>
      <c r="B4" s="3"/>
      <c r="C4" s="3"/>
      <c r="D4" s="3"/>
      <c r="E4" s="3"/>
      <c r="F4" s="3"/>
      <c r="G4" s="3"/>
    </row>
    <row r="5" ht="18" customHeight="1" spans="2:6" x14ac:dyDescent="0.25">
      <c r="B5" s="4" t="s">
        <v>2</v>
      </c>
      <c r="C5" s="4"/>
      <c r="E5" s="5" t="s">
        <v>3</v>
      </c>
      <c r="F5" s="5"/>
    </row>
    <row r="6" ht="38" customHeight="1" spans="2:6" x14ac:dyDescent="0.25">
      <c r="B6" s="6">
        <f>'Calculadora R2R'!B30</f>
      </c>
      <c r="C6" s="6"/>
      <c r="E6" s="7">
        <f>'Calculadora R2R'!B8</f>
      </c>
      <c r="F6" s="7"/>
    </row>
    <row r="7" ht="6" customHeight="1" spans="2:6" x14ac:dyDescent="0.25">
      <c r="B7" s="8"/>
      <c r="C7" s="8"/>
      <c r="E7" s="9"/>
      <c r="F7" s="9"/>
    </row>
    <row r="8" ht="10" customHeight="1" x14ac:dyDescent="0.25"/>
    <row r="9" ht="18" customHeight="1" spans="2:6" x14ac:dyDescent="0.25">
      <c r="B9" s="10" t="s">
        <v>4</v>
      </c>
      <c r="C9" s="10"/>
      <c r="E9" s="5" t="s">
        <v>5</v>
      </c>
      <c r="F9" s="5"/>
    </row>
    <row r="10" ht="38" customHeight="1" spans="2:6" x14ac:dyDescent="0.25">
      <c r="B10" s="11">
        <f>'Calculadora R2R'!B32</f>
      </c>
      <c r="C10" s="11"/>
      <c r="E10" s="7">
        <f>'Calculadora R2R'!B31</f>
      </c>
      <c r="F10" s="7"/>
    </row>
    <row r="11" ht="6" customHeight="1" spans="2:6" x14ac:dyDescent="0.25">
      <c r="B11" s="12"/>
      <c r="C11" s="12"/>
      <c r="E11" s="9"/>
      <c r="F11" s="9"/>
    </row>
    <row r="12" ht="10" customHeight="1" x14ac:dyDescent="0.25"/>
    <row r="13" ht="22" customHeight="1" spans="1:7" x14ac:dyDescent="0.25">
      <c r="A13" s="13" t="s">
        <v>6</v>
      </c>
      <c r="B13" s="13"/>
      <c r="C13" s="13"/>
      <c r="D13" s="13"/>
      <c r="E13" s="13"/>
      <c r="F13" s="13"/>
      <c r="G13" s="13"/>
    </row>
    <row r="14" ht="18" customHeight="1" spans="2:6" x14ac:dyDescent="0.25">
      <c r="B14" s="4" t="s">
        <v>7</v>
      </c>
      <c r="C14" s="4"/>
      <c r="E14" s="4" t="s">
        <v>8</v>
      </c>
      <c r="F14" s="4"/>
    </row>
    <row r="15" ht="38" customHeight="1" spans="2:6" x14ac:dyDescent="0.25">
      <c r="B15" s="14">
        <f>'Calculadora R2R'!B37</f>
      </c>
      <c r="C15" s="14"/>
      <c r="E15" s="15">
        <f>'Calculadora R2R'!B38</f>
      </c>
      <c r="F15" s="15"/>
    </row>
    <row r="16" ht="6" customHeight="1" spans="2:6" x14ac:dyDescent="0.25">
      <c r="B16" s="16"/>
      <c r="C16" s="16"/>
      <c r="E16" s="16"/>
      <c r="F16" s="16"/>
    </row>
    <row r="17" ht="10" customHeight="1" x14ac:dyDescent="0.25"/>
    <row r="18" ht="22" customHeight="1" spans="1:7" x14ac:dyDescent="0.25">
      <c r="A18" s="3" t="s">
        <v>9</v>
      </c>
      <c r="B18" s="3"/>
      <c r="C18" s="3"/>
      <c r="D18" s="3"/>
      <c r="E18" s="3"/>
      <c r="F18" s="3"/>
      <c r="G18" s="3"/>
    </row>
    <row r="19" ht="18" customHeight="1" spans="2:6" x14ac:dyDescent="0.25">
      <c r="B19" s="17" t="s">
        <v>10</v>
      </c>
      <c r="C19" s="17"/>
      <c r="E19" s="18" t="s">
        <v>11</v>
      </c>
      <c r="F19" s="18"/>
    </row>
    <row r="20" ht="38" customHeight="1" spans="2:6" x14ac:dyDescent="0.25">
      <c r="B20" s="19">
        <f>'Calculadora R2R'!B11</f>
      </c>
      <c r="C20" s="19"/>
      <c r="E20" s="20">
        <f>'Calculadora R2R'!B29</f>
      </c>
      <c r="F20" s="20"/>
    </row>
    <row r="21" ht="6" customHeight="1" spans="2:6" x14ac:dyDescent="0.25">
      <c r="B21" s="21"/>
      <c r="C21" s="21"/>
      <c r="E21" s="22"/>
      <c r="F21" s="22"/>
    </row>
    <row r="22" ht="10" customHeight="1" x14ac:dyDescent="0.25"/>
    <row r="23" ht="22" customHeight="1" spans="1:7" x14ac:dyDescent="0.25">
      <c r="A23" s="13" t="s">
        <v>12</v>
      </c>
      <c r="B23" s="13"/>
      <c r="C23" s="13"/>
      <c r="D23" s="13"/>
      <c r="E23" s="13"/>
      <c r="F23" s="13"/>
      <c r="G23" s="13"/>
    </row>
    <row r="24" ht="18" customHeight="1" spans="2:6" x14ac:dyDescent="0.25">
      <c r="B24" s="5" t="s">
        <v>13</v>
      </c>
      <c r="C24" s="5"/>
      <c r="E24" s="5" t="s">
        <v>14</v>
      </c>
      <c r="F24" s="5"/>
    </row>
    <row r="25" ht="38" customHeight="1" spans="2:6" x14ac:dyDescent="0.25">
      <c r="B25" s="23">
        <f>'Calculadora R2R'!B26</f>
      </c>
      <c r="C25" s="23"/>
      <c r="E25" s="23">
        <f>'Calculadora R2R'!B41</f>
      </c>
      <c r="F25" s="23"/>
    </row>
    <row r="26" ht="6" customHeight="1" spans="2:6" x14ac:dyDescent="0.25">
      <c r="B26" s="9"/>
      <c r="C26" s="9"/>
      <c r="E26" s="9"/>
      <c r="F26" s="9"/>
    </row>
    <row r="27" ht="10" customHeight="1" x14ac:dyDescent="0.25"/>
    <row r="28" ht="18" customHeight="1" spans="2:6" x14ac:dyDescent="0.25">
      <c r="B28" s="24" t="s">
        <v>15</v>
      </c>
      <c r="C28" s="24"/>
      <c r="D28" s="24"/>
      <c r="E28" s="24"/>
      <c r="F28" s="24"/>
    </row>
    <row r="29" ht="42" customHeight="1" spans="2:6" x14ac:dyDescent="0.25">
      <c r="B29" s="25">
        <f>'Calculadora R2R'!B26+'Calculadora R2R'!B41</f>
      </c>
      <c r="C29" s="25"/>
      <c r="D29" s="25"/>
      <c r="E29" s="25"/>
      <c r="F29" s="25"/>
    </row>
    <row r="30" ht="10" customHeight="1" x14ac:dyDescent="0.25"/>
    <row r="31" ht="22" customHeight="1" spans="1:7" x14ac:dyDescent="0.25">
      <c r="A31" s="3" t="s">
        <v>16</v>
      </c>
      <c r="B31" s="3"/>
      <c r="C31" s="3"/>
      <c r="D31" s="3"/>
      <c r="E31" s="3"/>
      <c r="F31" s="3"/>
      <c r="G31" s="3"/>
    </row>
    <row r="32" ht="18" customHeight="1" spans="2:6" x14ac:dyDescent="0.25">
      <c r="B32" s="4" t="s">
        <v>17</v>
      </c>
      <c r="C32" s="4"/>
      <c r="E32" s="4" t="s">
        <v>18</v>
      </c>
      <c r="F32" s="4"/>
    </row>
    <row r="33" ht="38" customHeight="1" spans="2:6" x14ac:dyDescent="0.25">
      <c r="B33" s="26">
        <f>'Calculadora R2R'!B42</f>
      </c>
      <c r="C33" s="26"/>
      <c r="E33" s="27">
        <f>'Calculadora R2R'!B43</f>
      </c>
      <c r="F33" s="27"/>
    </row>
    <row r="34" ht="6" customHeight="1" spans="2:6" x14ac:dyDescent="0.25">
      <c r="B34" s="8"/>
      <c r="C34" s="8"/>
      <c r="E34" s="8"/>
      <c r="F34" s="8"/>
    </row>
    <row r="35" ht="10" customHeight="1" x14ac:dyDescent="0.25"/>
    <row r="36" ht="18" customHeight="1" spans="2:6" x14ac:dyDescent="0.25">
      <c r="B36" s="28" t="s">
        <v>19</v>
      </c>
      <c r="C36" s="28"/>
      <c r="D36" s="28"/>
      <c r="E36" s="28"/>
      <c r="F36" s="28"/>
    </row>
    <row r="37" ht="42" customHeight="1" spans="2:6" x14ac:dyDescent="0.25">
      <c r="B37" s="29">
        <f>'Calculadora R2R'!B37*12</f>
      </c>
      <c r="C37" s="29"/>
      <c r="D37" s="29"/>
      <c r="E37" s="29"/>
      <c r="F37" s="29"/>
    </row>
    <row r="38" ht="16" customHeight="1" x14ac:dyDescent="0.25"/>
    <row r="39" ht="22" customHeight="1" spans="1:7" x14ac:dyDescent="0.25">
      <c r="A39" s="13" t="s">
        <v>20</v>
      </c>
      <c r="B39" s="13"/>
      <c r="C39" s="13"/>
      <c r="D39" s="13"/>
      <c r="E39" s="13"/>
      <c r="F39" s="13"/>
      <c r="G39" s="13"/>
    </row>
    <row r="40" ht="52" customHeight="1" spans="2:6" x14ac:dyDescent="0.25">
      <c r="B40" s="30">
        <f>IF(AND('Calculadora R2R'!B38&gt;=100,'Calculadora R2R'!B37&gt;'Calculadora R2R'!B14,IFERROR('Calculadora R2R'!B26/'Calculadora R2R'!B37,99)&lt;=15),"🟢  OPERACIÓN VIABLE — Los 3 filtros en verde","🔴  NO OPERAR — Revisa los filtros en rojo")</f>
      </c>
      <c r="C40" s="30"/>
      <c r="D40" s="30"/>
      <c r="E40" s="30"/>
      <c r="F40" s="30"/>
    </row>
    <row r="41" ht="10" customHeight="1" x14ac:dyDescent="0.25"/>
    <row r="42" ht="28" customHeight="1" spans="2:6" x14ac:dyDescent="0.25">
      <c r="B42" s="31" t="s">
        <v>21</v>
      </c>
      <c r="C42" s="32">
        <f>IF('Calculadora R2R'!B38&gt;=100,"✅  APTO  ("&amp;TEXT('Calculadora R2R'!B38,"#,##0")&amp;" €/hab)","❌  NO APTO  ("&amp;TEXT('Calculadora R2R'!B38,"#,##0")&amp;" €/hab)")</f>
      </c>
      <c r="D42" s="32"/>
      <c r="E42" s="32"/>
      <c r="F42" s="32"/>
    </row>
    <row r="43" ht="28" customHeight="1" spans="2:6" x14ac:dyDescent="0.25">
      <c r="B43" s="31" t="s">
        <v>22</v>
      </c>
      <c r="C43" s="32">
        <f>IF('Calculadora R2R'!B37&gt;'Calculadora R2R'!B14,"✅  SEGURO  (margen "&amp;TEXT('Calculadora R2R'!B37-'Calculadora R2R'!B14,"#,##0")&amp;" € sobre precio máx. hab)","❌  RIESGO  (vacancia = pérdidas)")</f>
      </c>
      <c r="D43" s="32"/>
      <c r="E43" s="32"/>
      <c r="F43" s="32"/>
    </row>
    <row r="44" ht="28" customHeight="1" spans="2:6" x14ac:dyDescent="0.25">
      <c r="B44" s="31" t="s">
        <v>23</v>
      </c>
      <c r="C44" s="32">
        <f>IF(IFERROR('Calculadora R2R'!B26/'Calculadora R2R'!B37,99)&lt;=15,"✅  EXCELENTE  (payback "&amp;TEXT(IFERROR('Calculadora R2R'!B26/'Calculadora R2R'!B37,0),"0.0")&amp;" meses)","❌  LENTO  (payback "&amp;TEXT(IFERROR('Calculadora R2R'!B26/'Calculadora R2R'!B37,0),"0.0")&amp;" meses)")</f>
      </c>
      <c r="D44" s="32"/>
      <c r="E44" s="32"/>
      <c r="F44" s="32"/>
    </row>
    <row r="45" ht="10" customHeight="1" x14ac:dyDescent="0.25"/>
    <row r="46" ht="18" customHeight="1" spans="1:7" x14ac:dyDescent="0.25">
      <c r="A46" s="33" t="s">
        <v>24</v>
      </c>
      <c r="B46" s="33"/>
      <c r="C46" s="33"/>
      <c r="D46" s="33"/>
      <c r="E46" s="33"/>
      <c r="F46" s="33"/>
      <c r="G46" s="33"/>
    </row>
  </sheetData>
  <mergeCells count="53">
    <mergeCell ref="A1:G1"/>
    <mergeCell ref="A2:G2"/>
    <mergeCell ref="A4:G4"/>
    <mergeCell ref="B5:C5"/>
    <mergeCell ref="E5:F5"/>
    <mergeCell ref="B6:C6"/>
    <mergeCell ref="E6:F6"/>
    <mergeCell ref="B7:C7"/>
    <mergeCell ref="E7:F7"/>
    <mergeCell ref="B9:C9"/>
    <mergeCell ref="E9:F9"/>
    <mergeCell ref="B10:C10"/>
    <mergeCell ref="E10:F10"/>
    <mergeCell ref="B11:C11"/>
    <mergeCell ref="E11:F11"/>
    <mergeCell ref="A13:G13"/>
    <mergeCell ref="B14:C14"/>
    <mergeCell ref="E14:F14"/>
    <mergeCell ref="B15:C15"/>
    <mergeCell ref="E15:F15"/>
    <mergeCell ref="B16:C16"/>
    <mergeCell ref="E16:F16"/>
    <mergeCell ref="A18:G18"/>
    <mergeCell ref="B19:C19"/>
    <mergeCell ref="E19:F19"/>
    <mergeCell ref="B20:C20"/>
    <mergeCell ref="E20:F20"/>
    <mergeCell ref="B21:C21"/>
    <mergeCell ref="E21:F21"/>
    <mergeCell ref="A23:G23"/>
    <mergeCell ref="B24:C24"/>
    <mergeCell ref="E24:F24"/>
    <mergeCell ref="B25:C25"/>
    <mergeCell ref="E25:F25"/>
    <mergeCell ref="B26:C26"/>
    <mergeCell ref="E26:F26"/>
    <mergeCell ref="B28:F28"/>
    <mergeCell ref="B29:F29"/>
    <mergeCell ref="A31:G31"/>
    <mergeCell ref="B32:C32"/>
    <mergeCell ref="E32:F32"/>
    <mergeCell ref="B33:C33"/>
    <mergeCell ref="E33:F33"/>
    <mergeCell ref="B34:C34"/>
    <mergeCell ref="E34:F34"/>
    <mergeCell ref="B36:F36"/>
    <mergeCell ref="B37:F37"/>
    <mergeCell ref="A39:G39"/>
    <mergeCell ref="B40:F40"/>
    <mergeCell ref="C42:F42"/>
    <mergeCell ref="C43:F43"/>
    <mergeCell ref="C44:F44"/>
    <mergeCell ref="A46:G46"/>
  </mergeCells>
  <conditionalFormatting sqref="B40:F40">
    <cfRule type="containsText" dxfId="0" priority="1">
      <formula>NOT(ISERROR(SEARCH("VIABLE",B40)))</formula>
    </cfRule>
    <cfRule type="containsText" dxfId="1" priority="2">
      <formula>NOT(ISERROR(SEARCH("NO OPERAR",B40)))</formula>
    </cfRule>
  </conditionalFormatting>
  <conditionalFormatting sqref="B42:F44">
    <cfRule type="containsText" dxfId="2" priority="3">
      <formula>NOT(ISERROR(SEARCH("✅",B42)))</formula>
    </cfRule>
    <cfRule type="containsText" dxfId="3" priority="4">
      <formula>NOT(ISERROR(SEARCH("❌",B42)))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462"/>
    <pageSetUpPr fitToPage="1"/>
  </sheetPr>
  <dimension ref="A1:G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6" customWidth="1"/>
    <col min="3" max="3" width="14" customWidth="1"/>
    <col min="4" max="4" width="16" customWidth="1"/>
    <col min="5" max="5" width="30" customWidth="1"/>
    <col min="6" max="6" width="2" customWidth="1"/>
    <col min="7" max="7" width="16" customWidth="1"/>
  </cols>
  <sheetData>
    <row r="1" ht="44" customHeight="1" spans="1:7" x14ac:dyDescent="0.25">
      <c r="A1" s="34" t="s">
        <v>25</v>
      </c>
      <c r="B1" s="34"/>
      <c r="C1" s="34"/>
      <c r="D1" s="34"/>
      <c r="E1" s="34"/>
      <c r="F1" s="34"/>
      <c r="G1" s="34"/>
    </row>
    <row r="2" ht="18" customHeight="1" spans="1:7" x14ac:dyDescent="0.25">
      <c r="A2" s="35" t="s">
        <v>26</v>
      </c>
      <c r="B2" s="35"/>
      <c r="C2" s="35"/>
      <c r="D2" s="35"/>
      <c r="E2" s="35"/>
      <c r="F2" s="35"/>
      <c r="G2" s="35"/>
    </row>
    <row r="3" ht="6" customHeight="1" spans="1:7" x14ac:dyDescent="0.25">
      <c r="A3" s="36"/>
      <c r="B3" s="36"/>
      <c r="C3" s="36"/>
      <c r="D3" s="36"/>
      <c r="E3" s="36"/>
      <c r="F3" s="36"/>
      <c r="G3" s="36"/>
    </row>
    <row r="4" ht="22" customHeight="1" spans="1:7" x14ac:dyDescent="0.25">
      <c r="A4" s="37" t="s">
        <v>27</v>
      </c>
      <c r="B4" s="37"/>
      <c r="C4" s="37"/>
      <c r="D4" s="37"/>
      <c r="E4" s="37" t="s">
        <v>28</v>
      </c>
      <c r="F4" s="37"/>
      <c r="G4" s="37"/>
    </row>
    <row r="5" ht="16" customHeight="1" spans="3:7" x14ac:dyDescent="0.25">
      <c r="C5" s="38" t="s">
        <v>29</v>
      </c>
      <c r="D5" s="38" t="s">
        <v>30</v>
      </c>
      <c r="E5" s="38" t="s">
        <v>31</v>
      </c>
      <c r="G5" s="38" t="s">
        <v>32</v>
      </c>
    </row>
    <row r="6" ht="4" customHeight="1" x14ac:dyDescent="0.25"/>
    <row r="7" ht="24" customHeight="1" spans="1:2" x14ac:dyDescent="0.25">
      <c r="A7" s="39" t="s">
        <v>33</v>
      </c>
      <c r="B7" s="40" t="s">
        <v>34</v>
      </c>
    </row>
    <row r="8" ht="24" customHeight="1" spans="1:7" x14ac:dyDescent="0.25">
      <c r="A8" s="41" t="s">
        <v>35</v>
      </c>
      <c r="B8" s="42">
        <v>900</v>
      </c>
      <c r="E8" s="43">
        <f>IF(B38&gt;=100,"✅ APTO — Beneficio/hab &gt;= 100€","❌ NO APTO — Beneficio/hab &lt; 100€")</f>
      </c>
      <c r="G8" s="44">
        <f>B38</f>
      </c>
    </row>
    <row r="9" ht="24" customHeight="1" spans="1:7" x14ac:dyDescent="0.25">
      <c r="A9" s="41" t="s">
        <v>36</v>
      </c>
      <c r="B9" s="45">
        <v>4</v>
      </c>
      <c r="E9" s="43">
        <f>IF(B37&gt;B14,"✅ SEGURO — Caja &gt; Precio máx. hab","🔴 RIESGO — Vacancia = pérdidas")</f>
      </c>
      <c r="G9" s="44">
        <f>B37-B14</f>
      </c>
    </row>
    <row r="10" ht="26" customHeight="1" spans="1:7" x14ac:dyDescent="0.25">
      <c r="A10" s="46" t="s">
        <v>37</v>
      </c>
      <c r="B10" s="47">
        <v>0</v>
      </c>
      <c r="C10" s="48" t="s">
        <v>38</v>
      </c>
      <c r="D10" s="48"/>
      <c r="E10" s="43">
        <f>IF(IFERROR(B26/B37,99)&lt;=15,"🚀 EXCELENTE — Payback &lt; 15 meses","⏳ LENTO — Payback &gt; 15 meses")</f>
      </c>
      <c r="G10" s="49">
        <f>IFERROR(B26/B37,0)</f>
      </c>
    </row>
    <row r="11" ht="30" customHeight="1" spans="1:7" x14ac:dyDescent="0.25">
      <c r="A11" s="50" t="s">
        <v>39</v>
      </c>
      <c r="B11" s="51">
        <f>B9+B10</f>
      </c>
      <c r="C11" s="52" t="s">
        <v>40</v>
      </c>
      <c r="D11" s="52"/>
      <c r="E11" s="53" t="s">
        <v>41</v>
      </c>
      <c r="F11" s="53"/>
      <c r="G11" s="53"/>
    </row>
    <row r="12" ht="26" customHeight="1" spans="1:7" x14ac:dyDescent="0.25">
      <c r="A12" s="46" t="s">
        <v>42</v>
      </c>
      <c r="B12" s="54" t="s">
        <v>43</v>
      </c>
      <c r="C12" s="48" t="s">
        <v>44</v>
      </c>
      <c r="D12" s="48"/>
      <c r="E12" s="53"/>
      <c r="F12" s="53"/>
      <c r="G12" s="53"/>
    </row>
    <row r="13" ht="46" customHeight="1" spans="1:7" x14ac:dyDescent="0.25">
      <c r="A13" s="39" t="s">
        <v>45</v>
      </c>
      <c r="B13" s="42">
        <v>380</v>
      </c>
      <c r="E13" s="55">
        <f>IF(AND(B38&gt;=100,B37&gt;B14,IFERROR(B26/B37,99)&lt;=15),"🟢  OPERACIÓN VIABLE — Los 3 filtros en verde","🔴  NO OPERAR — Revisa los filtros en rojo")</f>
      </c>
      <c r="F13" s="55"/>
      <c r="G13" s="55"/>
    </row>
    <row r="14" ht="24" customHeight="1" spans="1:2" x14ac:dyDescent="0.25">
      <c r="A14" s="41" t="s">
        <v>46</v>
      </c>
      <c r="B14" s="42">
        <v>450</v>
      </c>
    </row>
    <row r="15" ht="24" customHeight="1" spans="1:2" x14ac:dyDescent="0.25">
      <c r="A15" s="39" t="s">
        <v>47</v>
      </c>
      <c r="B15" s="42">
        <v>35</v>
      </c>
    </row>
    <row r="16" ht="14" customHeight="1" x14ac:dyDescent="0.25"/>
    <row r="17" ht="22" customHeight="1" spans="1:4" x14ac:dyDescent="0.25">
      <c r="A17" s="56" t="s">
        <v>48</v>
      </c>
      <c r="B17" s="56"/>
      <c r="C17" s="56"/>
      <c r="D17" s="56"/>
    </row>
    <row r="18" ht="26" customHeight="1" spans="1:4" x14ac:dyDescent="0.25">
      <c r="A18" s="41" t="s">
        <v>49</v>
      </c>
      <c r="B18" s="57" t="s">
        <v>43</v>
      </c>
      <c r="C18" s="58">
        <v>200</v>
      </c>
      <c r="D18" s="59">
        <f>IF(B18="Sí",B11*200,0)</f>
      </c>
    </row>
    <row r="19" ht="26" customHeight="1" spans="1:4" x14ac:dyDescent="0.25">
      <c r="A19" s="39" t="s">
        <v>50</v>
      </c>
      <c r="B19" s="60" t="s">
        <v>51</v>
      </c>
      <c r="C19" s="58">
        <v>650</v>
      </c>
      <c r="D19" s="59">
        <f>IF(B19="Sí",B11*650,0)</f>
      </c>
    </row>
    <row r="20" ht="26" customHeight="1" spans="1:4" x14ac:dyDescent="0.25">
      <c r="A20" s="41" t="s">
        <v>52</v>
      </c>
      <c r="B20" s="60" t="s">
        <v>51</v>
      </c>
      <c r="C20" s="58">
        <v>50</v>
      </c>
      <c r="D20" s="59">
        <f>IF(B20="Sí",B11*50,0)</f>
      </c>
    </row>
    <row r="21" ht="26" customHeight="1" spans="1:4" x14ac:dyDescent="0.25">
      <c r="A21" s="39" t="s">
        <v>53</v>
      </c>
      <c r="B21" s="60" t="s">
        <v>51</v>
      </c>
      <c r="C21" s="58">
        <v>80</v>
      </c>
      <c r="D21" s="59">
        <f>IF(B21="Sí",B11*80,0)</f>
      </c>
    </row>
    <row r="22" ht="26" customHeight="1" spans="1:4" x14ac:dyDescent="0.25">
      <c r="A22" s="41" t="s">
        <v>54</v>
      </c>
      <c r="B22" s="57" t="s">
        <v>43</v>
      </c>
      <c r="C22" s="58">
        <v>75</v>
      </c>
      <c r="D22" s="59">
        <f>IF(B22="Sí",B11*75,0)</f>
      </c>
    </row>
    <row r="23" ht="26" customHeight="1" spans="1:4" x14ac:dyDescent="0.25">
      <c r="A23" s="39" t="s">
        <v>55</v>
      </c>
      <c r="B23" s="57" t="s">
        <v>43</v>
      </c>
      <c r="C23" s="58">
        <v>850</v>
      </c>
      <c r="D23" s="59">
        <f>IF(B23="Sí",B11*850,0)</f>
      </c>
    </row>
    <row r="24" ht="28" customHeight="1" spans="1:4" x14ac:dyDescent="0.25">
      <c r="A24" s="46" t="s">
        <v>56</v>
      </c>
      <c r="B24" s="61" t="s">
        <v>57</v>
      </c>
      <c r="C24" s="62">
        <v>1200</v>
      </c>
      <c r="D24" s="63">
        <f>IF(AND(B12="Sí",B10&gt;0),B10*1200,0)</f>
      </c>
    </row>
    <row r="25" ht="22" customHeight="1" spans="1:4" x14ac:dyDescent="0.25">
      <c r="A25" s="64" t="s">
        <v>58</v>
      </c>
      <c r="C25" s="58">
        <v>75</v>
      </c>
      <c r="D25" s="59">
        <f>B11*75</f>
      </c>
    </row>
    <row r="26" ht="30" customHeight="1" spans="1:4" x14ac:dyDescent="0.25">
      <c r="A26" s="13" t="s">
        <v>59</v>
      </c>
      <c r="B26" s="65">
        <f>SUM(D18:D25)</f>
      </c>
      <c r="C26" s="66" t="s">
        <v>60</v>
      </c>
      <c r="D26" s="66"/>
    </row>
    <row r="27" ht="10" customHeight="1" x14ac:dyDescent="0.25"/>
    <row r="28" ht="22" customHeight="1" spans="1:7" x14ac:dyDescent="0.25">
      <c r="A28" s="37" t="s">
        <v>61</v>
      </c>
      <c r="B28" s="37"/>
      <c r="C28" s="37"/>
      <c r="D28" s="37"/>
      <c r="E28" s="37"/>
      <c r="F28" s="37"/>
      <c r="G28" s="37"/>
    </row>
    <row r="29" ht="24" customHeight="1" spans="1:2" x14ac:dyDescent="0.25">
      <c r="A29" s="41" t="s">
        <v>62</v>
      </c>
      <c r="B29" s="67">
        <f>(B13+B14)/2</f>
      </c>
    </row>
    <row r="30" ht="24" customHeight="1" spans="1:2" x14ac:dyDescent="0.25">
      <c r="A30" s="39" t="s">
        <v>63</v>
      </c>
      <c r="B30" s="67">
        <f>B29*B11</f>
      </c>
    </row>
    <row r="31" ht="24" customHeight="1" spans="1:2" x14ac:dyDescent="0.25">
      <c r="A31" s="41" t="s">
        <v>64</v>
      </c>
      <c r="B31" s="67">
        <f>B15*B11</f>
      </c>
    </row>
    <row r="32" ht="24" customHeight="1" spans="1:2" x14ac:dyDescent="0.25">
      <c r="A32" s="39" t="s">
        <v>65</v>
      </c>
      <c r="B32" s="67">
        <f>B8*0.21</f>
      </c>
    </row>
    <row r="33" ht="24" customHeight="1" spans="1:2" x14ac:dyDescent="0.25">
      <c r="A33" s="41" t="s">
        <v>66</v>
      </c>
      <c r="B33" s="67">
        <f>B8*0.19</f>
      </c>
    </row>
    <row r="34" ht="24" customHeight="1" spans="1:2" x14ac:dyDescent="0.25">
      <c r="A34" s="39" t="s">
        <v>67</v>
      </c>
      <c r="B34" s="67">
        <f>B8+(B8*0.21)</f>
      </c>
    </row>
    <row r="35" ht="14" customHeight="1" x14ac:dyDescent="0.25"/>
    <row r="36" ht="6" customHeight="1" x14ac:dyDescent="0.25"/>
    <row r="37" ht="32" customHeight="1" spans="1:2" x14ac:dyDescent="0.25">
      <c r="A37" s="13" t="s">
        <v>68</v>
      </c>
      <c r="B37" s="68">
        <f>B30-B8-(B8*0.21)-B31</f>
      </c>
    </row>
    <row r="38" ht="24" customHeight="1" spans="1:2" x14ac:dyDescent="0.25">
      <c r="A38" s="39" t="s">
        <v>69</v>
      </c>
      <c r="B38" s="67">
        <f>B37/B11</f>
      </c>
    </row>
    <row r="39" ht="10" customHeight="1" x14ac:dyDescent="0.25"/>
    <row r="40" ht="22" customHeight="1" spans="1:7" x14ac:dyDescent="0.25">
      <c r="A40" s="69" t="s">
        <v>70</v>
      </c>
      <c r="B40" s="69"/>
      <c r="C40" s="69"/>
      <c r="D40" s="69"/>
      <c r="E40" s="69"/>
      <c r="F40" s="69"/>
      <c r="G40" s="69"/>
    </row>
    <row r="41" ht="24" customHeight="1" spans="1:2" x14ac:dyDescent="0.25">
      <c r="A41" s="41" t="s">
        <v>71</v>
      </c>
      <c r="B41" s="67">
        <f>B8*2</f>
      </c>
    </row>
    <row r="42" ht="24" customHeight="1" spans="1:2" x14ac:dyDescent="0.25">
      <c r="A42" s="39" t="s">
        <v>72</v>
      </c>
      <c r="B42" s="70">
        <f>IFERROR(B26/B37,0)</f>
      </c>
    </row>
    <row r="43" ht="24" customHeight="1" spans="1:2" x14ac:dyDescent="0.25">
      <c r="A43" s="41" t="s">
        <v>73</v>
      </c>
      <c r="B43" s="71">
        <f>IFERROR((B37*12/B26)*100,0)</f>
      </c>
    </row>
    <row r="44" ht="24" customHeight="1" spans="1:2" x14ac:dyDescent="0.25">
      <c r="A44" s="39" t="s">
        <v>74</v>
      </c>
      <c r="B44" s="67">
        <f>B30*12</f>
      </c>
    </row>
    <row r="45" ht="24" customHeight="1" spans="1:2" x14ac:dyDescent="0.25">
      <c r="A45" s="41" t="s">
        <v>75</v>
      </c>
      <c r="B45" s="67">
        <f>B37*12</f>
      </c>
    </row>
    <row r="46" ht="10" customHeight="1" x14ac:dyDescent="0.25"/>
    <row r="47" ht="22" customHeight="1" spans="1:7" x14ac:dyDescent="0.25">
      <c r="A47" s="72" t="s">
        <v>76</v>
      </c>
      <c r="B47" s="72"/>
      <c r="C47" s="72"/>
      <c r="D47" s="72"/>
      <c r="E47" s="72"/>
      <c r="F47" s="72"/>
      <c r="G47" s="72"/>
    </row>
    <row r="48" ht="52" customHeight="1" spans="1:7" x14ac:dyDescent="0.25">
      <c r="A48" s="73" t="s">
        <v>77</v>
      </c>
      <c r="B48" s="73"/>
      <c r="C48" s="73"/>
      <c r="D48" s="73"/>
      <c r="E48" s="73"/>
      <c r="F48" s="73"/>
      <c r="G48" s="73"/>
    </row>
    <row r="49" ht="10" customHeight="1" x14ac:dyDescent="0.25"/>
    <row r="50" ht="22" customHeight="1" spans="1:7" x14ac:dyDescent="0.25">
      <c r="A50" s="74" t="s">
        <v>78</v>
      </c>
      <c r="B50" s="74"/>
      <c r="C50" s="74"/>
      <c r="D50" s="74"/>
      <c r="E50" s="74"/>
      <c r="F50" s="74"/>
      <c r="G50" s="74"/>
    </row>
    <row r="51" ht="26" customHeight="1" spans="1:7" x14ac:dyDescent="0.25">
      <c r="A51" s="75" t="s">
        <v>79</v>
      </c>
      <c r="B51" s="76" t="s">
        <v>80</v>
      </c>
      <c r="C51" s="76"/>
      <c r="D51" s="76"/>
      <c r="E51" s="76"/>
      <c r="F51" s="76"/>
      <c r="G51" s="76"/>
    </row>
    <row r="52" ht="26" customHeight="1" spans="1:7" x14ac:dyDescent="0.25">
      <c r="A52" s="77" t="s">
        <v>81</v>
      </c>
      <c r="B52" s="78" t="s">
        <v>82</v>
      </c>
      <c r="C52" s="78"/>
      <c r="D52" s="78"/>
      <c r="E52" s="78"/>
      <c r="F52" s="78"/>
      <c r="G52" s="78"/>
    </row>
    <row r="53" ht="26" customHeight="1" spans="1:7" x14ac:dyDescent="0.25">
      <c r="A53" s="75" t="s">
        <v>83</v>
      </c>
      <c r="B53" s="76" t="s">
        <v>84</v>
      </c>
      <c r="C53" s="76"/>
      <c r="D53" s="76"/>
      <c r="E53" s="76"/>
      <c r="F53" s="76"/>
      <c r="G53" s="76"/>
    </row>
    <row r="54" ht="26" customHeight="1" spans="1:7" x14ac:dyDescent="0.25">
      <c r="A54" s="77" t="s">
        <v>85</v>
      </c>
      <c r="B54" s="78" t="s">
        <v>86</v>
      </c>
      <c r="C54" s="78"/>
      <c r="D54" s="78"/>
      <c r="E54" s="78"/>
      <c r="F54" s="78"/>
      <c r="G54" s="78"/>
    </row>
    <row r="55" ht="26" customHeight="1" spans="1:7" x14ac:dyDescent="0.25">
      <c r="A55" s="75" t="s">
        <v>87</v>
      </c>
      <c r="B55" s="76" t="s">
        <v>88</v>
      </c>
      <c r="C55" s="76"/>
      <c r="D55" s="76"/>
      <c r="E55" s="76"/>
      <c r="F55" s="76"/>
      <c r="G55" s="76"/>
    </row>
    <row r="56" ht="26" customHeight="1" spans="1:7" x14ac:dyDescent="0.25">
      <c r="A56" s="77" t="s">
        <v>89</v>
      </c>
      <c r="B56" s="78" t="s">
        <v>90</v>
      </c>
      <c r="C56" s="78"/>
      <c r="D56" s="78"/>
      <c r="E56" s="78"/>
      <c r="F56" s="78"/>
      <c r="G56" s="78"/>
    </row>
    <row r="58" ht="18" customHeight="1" spans="1:7" x14ac:dyDescent="0.25">
      <c r="A58" s="33" t="s">
        <v>91</v>
      </c>
      <c r="B58" s="33"/>
      <c r="C58" s="33"/>
      <c r="D58" s="33"/>
      <c r="E58" s="33"/>
      <c r="F58" s="33"/>
      <c r="G58" s="33"/>
    </row>
  </sheetData>
  <mergeCells count="23">
    <mergeCell ref="A1:G1"/>
    <mergeCell ref="A2:G2"/>
    <mergeCell ref="A4:D4"/>
    <mergeCell ref="E4:G4"/>
    <mergeCell ref="C10:D10"/>
    <mergeCell ref="C11:D11"/>
    <mergeCell ref="E11:G12"/>
    <mergeCell ref="C12:D12"/>
    <mergeCell ref="E13:G13"/>
    <mergeCell ref="A17:D17"/>
    <mergeCell ref="C26:D26"/>
    <mergeCell ref="A28:G28"/>
    <mergeCell ref="A40:G40"/>
    <mergeCell ref="A47:G47"/>
    <mergeCell ref="A48:G48"/>
    <mergeCell ref="A50:G50"/>
    <mergeCell ref="B51:G51"/>
    <mergeCell ref="B52:G52"/>
    <mergeCell ref="B53:G53"/>
    <mergeCell ref="B54:G54"/>
    <mergeCell ref="B55:G55"/>
    <mergeCell ref="B56:G56"/>
    <mergeCell ref="A58:G58"/>
  </mergeCells>
  <conditionalFormatting sqref="E8:G8">
    <cfRule type="containsText" dxfId="4" priority="1">
      <formula>NOT(ISERROR(SEARCH("APTO",E8)))</formula>
    </cfRule>
    <cfRule type="containsText" dxfId="5" priority="2">
      <formula>NOT(ISERROR(SEARCH("NO APTO",E8)))</formula>
    </cfRule>
  </conditionalFormatting>
  <conditionalFormatting sqref="E9:G9">
    <cfRule type="containsText" dxfId="6" priority="3">
      <formula>NOT(ISERROR(SEARCH("SEGURO",E9)))</formula>
    </cfRule>
    <cfRule type="containsText" dxfId="7" priority="4">
      <formula>NOT(ISERROR(SEARCH("RIESGO",E9)))</formula>
    </cfRule>
  </conditionalFormatting>
  <conditionalFormatting sqref="E10:G10">
    <cfRule type="containsText" dxfId="8" priority="5">
      <formula>NOT(ISERROR(SEARCH("EXCELENTE",E10)))</formula>
    </cfRule>
    <cfRule type="containsText" dxfId="9" priority="6">
      <formula>NOT(ISERROR(SEARCH("LENTO",E10)))</formula>
    </cfRule>
  </conditionalFormatting>
  <conditionalFormatting sqref="E13:G13">
    <cfRule type="containsText" dxfId="10" priority="7">
      <formula>NOT(ISERROR(SEARCH("VIABLE",E13)))</formula>
    </cfRule>
    <cfRule type="containsText" dxfId="11" priority="8">
      <formula>NOT(ISERROR(SEARCH("NO OPERAR",E13)))</formula>
    </cfRule>
  </conditionalFormatting>
  <dataValidations count="8">
    <dataValidation type="whole" showInputMessage="1" promptTitle="¿Cuántas habitaciones extra salen de la conversión?" prompt="Pon 0 si no hay conversión. Pon 1 si el salón da 1 hab. Pon 2 si el salón grande da 2 hab. con pladur." sqref="B10">
      <formula1>0</formula1>
      <formula2>5</formula2>
    </dataValidation>
    <dataValidation type="list" showInputMessage="1" promptTitle="Tabiquería / Pladur" prompt="Sí = hay que construir la pared para separar el salón. No = el espacio ya está delimitado o no necesita obra." sqref="B12">
      <formula1>"Sí,No"</formula1>
    </dataValidation>
    <dataValidation type="list" showInputMessage="1" promptTitle="Selecciona" prompt="~200€/hab: paredes, techos, sellado. Pintura plástica blanca." sqref="B18">
      <formula1>"Sí,No"</formula1>
    </dataValidation>
    <dataValidation type="list" showInputMessage="1" promptTitle="Selecciona" prompt="~650€/hab: cama+colchón+armario+escritorio+silla." sqref="B19">
      <formula1>"Sí,No"</formula1>
    </dataValidation>
    <dataValidation type="list" showInputMessage="1" promptTitle="Selecciona" prompt="~50€/hab (repartido): vajilla, sartenes, decoración zonas comunes." sqref="B20">
      <formula1>"Sí,No"</formula1>
    </dataValidation>
    <dataValidation type="list" showInputMessage="1" promptTitle="Selecciona" prompt="~80€/hab: cerrojo con llave por habitación. Obligatorio." sqref="B21">
      <formula1>"Sí,No"</formula1>
    </dataValidation>
    <dataValidation type="list" showInputMessage="1" promptTitle="Selecciona" prompt="~75€/hab: luminarias LED + base con USB por habitación." sqref="B22">
      <formula1>"Sí,No"</formula1>
    </dataValidation>
    <dataValidation type="list" showInputMessage="1" promptTitle="Selecciona" prompt="~850€/hab: tabiques, baños, instalaciones. Pedir presupuesto a industrial." sqref="B23">
      <formula1>"Sí,No"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Dashboard</vt:lpstr>
      <vt:lpstr>Calculadora R2R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Renttia</dc:creator>
  <dc:title/>
  <dc:subject/>
  <dc:description/>
  <cp:keywords/>
  <cp:category/>
  <cp:lastModifiedBy>Unknown</cp:lastModifiedBy>
  <dcterms:created xsi:type="dcterms:W3CDTF">2026-07-19T14:09:21Z</dcterms:created>
  <dcterms:modified xsi:type="dcterms:W3CDTF">2026-07-19T14:09:21Z</dcterms:modified>
</cp:coreProperties>
</file>